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b289d904c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28a72051164920"/>
    <x:sheet xmlns:r="http://schemas.openxmlformats.org/officeDocument/2006/relationships" name="Inputs" sheetId="2" r:id="R1cd38fbecc97417b"/>
    <x:sheet xmlns:r="http://schemas.openxmlformats.org/officeDocument/2006/relationships" name="Adjustments" sheetId="3" r:id="R6043170bdc2e4752"/>
    <x:sheet xmlns:r="http://schemas.openxmlformats.org/officeDocument/2006/relationships" name="Cash" sheetId="4" r:id="R102145713bcd4acd"/>
    <x:sheet xmlns:r="http://schemas.openxmlformats.org/officeDocument/2006/relationships" name="Method" sheetId="5" r:id="R320d74c3b79e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;(#,##0);&quot;—&quot;"/>
    <x:numFmt numFmtId="202" formatCode="0.0%"/>
    <x:numFmt numFmtId="203" formatCode="0"/>
    <x:numFmt numFmtId="204" formatCode="0.00&quot;x&quot;"/>
  </x:numFmts>
  <x:fonts count="7">
    <x:font>
      <x:sz val="11"/>
      <x:name val="Carlito"/>
    </x:font>
    <x:font>
      <x:sz val="10"/>
      <x:color rgb="FF172D35"/>
      <x:name val="Arial"/>
    </x:font>
    <x:font>
      <x:b/>
      <x:sz val="15"/>
      <x:color rgb="FF172D35"/>
      <x:name val="Arial"/>
    </x:font>
    <x:font>
      <x:sz val="10"/>
      <x:color rgb="FF177447"/>
      <x:name val="Arial"/>
    </x:font>
    <x:font>
      <x:sz val="10"/>
      <x:color rgb="FF155BA1"/>
      <x:name val="Arial"/>
    </x:font>
    <x:font>
      <x:b/>
      <x:sz val="10"/>
      <x:color rgb="FFFFFFFF"/>
      <x:name val="Arial"/>
    </x:font>
    <x:font>
      <x:b/>
      <x:sz val="10"/>
      <x:color rgb="FF172D3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5D9"/>
      </x:patternFill>
    </x:fill>
    <x:fill>
      <x:patternFill patternType="solid">
        <x:fgColor rgb="FF173C4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3" fontId="6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3" fontId="5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1" fontId="4" fillId="2" borderId="0" xfId="0" applyNumberFormat="1" applyFont="1" applyFill="1" applyBorder="1" applyAlignment="1">
      <x:alignment vertical="center" wrapText="1"/>
    </x:xf>
    <x:xf numFmtId="202" fontId="4" fillId="2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C2727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bdd58b3d943d2" /><Relationship Type="http://schemas.openxmlformats.org/officeDocument/2006/relationships/theme" Target="/xl/theme/theme1.xml" Id="R224c95d25b8e410d" /><Relationship Type="http://schemas.openxmlformats.org/officeDocument/2006/relationships/sharedStrings" Target="/xl/sharedStrings.xml" Id="R5af78c98e72a4378" /><Relationship Type="http://schemas.openxmlformats.org/officeDocument/2006/relationships/worksheet" Target="/xl/worksheets/sheet1.xml" Id="R9428a72051164920" /><Relationship Type="http://schemas.openxmlformats.org/officeDocument/2006/relationships/worksheet" Target="/xl/worksheets/sheet2.xml" Id="R1cd38fbecc97417b" /><Relationship Type="http://schemas.openxmlformats.org/officeDocument/2006/relationships/worksheet" Target="/xl/worksheets/sheet3.xml" Id="R6043170bdc2e4752" /><Relationship Type="http://schemas.openxmlformats.org/officeDocument/2006/relationships/worksheet" Target="/xl/worksheets/sheet4.xml" Id="R102145713bcd4acd" /><Relationship Type="http://schemas.openxmlformats.org/officeDocument/2006/relationships/worksheet" Target="/xl/worksheets/sheet5.xml" Id="R320d74c3b79e42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2" hidden="0" customWidth="1"/>
    <x:col min="3" max="3" width="24" hidden="0" customWidth="1"/>
    <x:col min="4" max="4" width="3" hidden="0" customWidth="1"/>
    <x:col min="5" max="5" width="6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2"/>
      <x:c r="B2" s="3" t="str">
        <x:v>Acquisition earnings &amp; cash-flow review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/>
      <x:c r="B3" s="2" t="str">
        <x:v>Independent model by Hashir Kayani • synthetic example • USD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2"/>
      <x:c r="B5" s="2" t="str">
        <x:v>Company</x:v>
      </x:c>
      <x:c r="C5" s="27" t="str">
        <x:f>'Inputs'!C5</x:f>
        <x:v>Harbor Commercial Services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0" customHeight="1">
      <x:c r="A6" s="2"/>
      <x:c r="B6" s="2" t="str">
        <x:v>Financial period</x:v>
      </x:c>
      <x:c r="C6" s="27" t="str">
        <x:f>'Inputs'!C6</x:f>
        <x:v>FY2025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0" customHeight="1">
      <x:c r="A7" s="2"/>
      <x:c r="B7" s="2"/>
      <x:c r="C7" s="26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30" customHeight="1">
      <x:c r="A8" s="2"/>
      <x:c r="B8" s="2"/>
      <x:c r="C8" s="26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30" customHeight="1">
      <x:c r="A9" s="2"/>
      <x:c r="B9" s="12" t="str">
        <x:v>Historical EBITDA</x:v>
      </x:c>
      <x:c r="C9" s="28" t="n">
        <x:f>'Inputs'!C16</x:f>
        <x:v>700000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30" customHeight="1">
      <x:c r="A10" s="2"/>
      <x:c r="B10" s="2" t="str">
        <x:v>Seller presentation</x:v>
      </x:c>
      <x:c r="C10" s="29" t="n">
        <x:f>IF(AND(ISNUMBER('Inputs'!C16),ISNUMBER('Adjustments'!C42)),'Inputs'!C16+'Adjustments'!C42,"Incomplete")</x:f>
        <x:v>1050000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30" customHeight="1">
      <x:c r="A11" s="2"/>
      <x:c r="B11" s="2" t="str">
        <x:v>Buyer normalized earnings</x:v>
      </x:c>
      <x:c r="C11" s="29" t="n">
        <x:f>'Cash'!C14</x:f>
        <x:v>775000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30" customHeight="1">
      <x:c r="A12" s="2"/>
      <x:c r="B12" s="2" t="str">
        <x:v>Buyer operating case</x:v>
      </x:c>
      <x:c r="C12" s="29" t="n">
        <x:f>'Cash'!C15</x:f>
        <x:v>745000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30" customHeight="1">
      <x:c r="A13" s="2"/>
      <x:c r="B13" s="2"/>
      <x:c r="C13" s="26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30" customHeight="1">
      <x:c r="A14" s="2"/>
      <x:c r="B14" s="2"/>
      <x:c r="C14" s="26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30" customHeight="1">
      <x:c r="A15" s="2"/>
      <x:c r="B15" s="12" t="str">
        <x:v>Enterprise value assumption</x:v>
      </x:c>
      <x:c r="C15" s="28" t="n">
        <x:f>'Inputs'!C18</x:f>
        <x:v>5000000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0" customHeight="1">
      <x:c r="A16" s="2"/>
      <x:c r="B16" s="2" t="str">
        <x:v>EV / normalized earnings</x:v>
      </x:c>
      <x:c r="C16" s="30" t="n">
        <x:f>IF(AND('Inputs'!C19="Yes",ISNUMBER(C15),C15&gt;0,ISNUMBER(C11),C11&gt;0),C15/C11,"n.m.")</x:f>
        <x:v>6.451612903225806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30" customHeight="1">
      <x:c r="A17" s="2"/>
      <x:c r="B17" s="2"/>
      <x:c r="C17" s="26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30" customHeight="1">
      <x:c r="A18" s="2"/>
      <x:c r="B18" s="2"/>
      <x:c r="C18" s="26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0" customHeight="1">
      <x:c r="A19" s="2"/>
      <x:c r="B19" s="12" t="str">
        <x:v>Cash before financing</x:v>
      </x:c>
      <x:c r="C19" s="28" t="n">
        <x:f>'Cash'!C17</x:f>
        <x:v>525000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30" customHeight="1">
      <x:c r="A20" s="2"/>
      <x:c r="B20" s="2" t="str">
        <x:v>Illustrative cash coverage</x:v>
      </x:c>
      <x:c r="C20" s="30" t="n">
        <x:f>'Cash'!C18</x:f>
        <x:v>1.4583333333333333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30" customHeight="1">
      <x:c r="A21" s="2"/>
      <x:c r="B21" s="2" t="str">
        <x:v>Cash after financing</x:v>
      </x:c>
      <x:c r="C21" s="29" t="n">
        <x:f>'Cash'!C19</x:f>
        <x:v>165000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30" customHeight="1">
      <x:c r="A22" s="2"/>
      <x:c r="B22" s="2"/>
      <x:c r="C22" s="26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30" customHeight="1">
      <x:c r="A23" s="2"/>
      <x:c r="B23" s="2"/>
      <x:c r="C23" s="26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30" customHeight="1">
      <x:c r="A24" s="2"/>
      <x:c r="B24" s="12" t="str">
        <x:v>Scenario operating earnings</x:v>
      </x:c>
      <x:c r="C24" s="28" t="n">
        <x:f>'Cash'!C24</x:f>
        <x:v>525000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30" customHeight="1">
      <x:c r="A25" s="2"/>
      <x:c r="B25" s="2" t="str">
        <x:v>Scenario cash before financing</x:v>
      </x:c>
      <x:c r="C25" s="29" t="n">
        <x:f>'Cash'!C25</x:f>
        <x:v>305000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30" customHeight="1">
      <x:c r="A26" s="2"/>
      <x:c r="B26" s="2" t="str">
        <x:v>Scenario coverage</x:v>
      </x:c>
      <x:c r="C26" s="30" t="n">
        <x:f>'Cash'!C26</x:f>
        <x:v>0.8472222222222222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30" customHeight="1">
      <x:c r="A27" s="2"/>
      <x:c r="B27" s="2"/>
      <x:c r="C27" s="26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30" customHeight="1">
      <x:c r="A28" s="2"/>
      <x:c r="B28" s="2"/>
      <x:c r="C28" s="26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30" customHeight="1">
      <x:c r="A29" s="2"/>
      <x:c r="B29" s="12" t="str">
        <x:v>Adjustment input corrections</x:v>
      </x:c>
      <x:c r="C29" s="31" t="n">
        <x:f>'Adjustments'!C39</x:f>
        <x:v>0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30" customHeight="1">
      <x:c r="A30" s="2"/>
      <x:c r="B30" s="2" t="str">
        <x:v>Unresolved adjustment items</x:v>
      </x:c>
      <x:c r="C30" s="32" t="n">
        <x:f>'Adjustments'!C43</x:f>
        <x:v>1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30" customHeight="1">
      <x:c r="A31" s="2"/>
      <x:c r="B31" s="2"/>
      <x:c r="C31" s="26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30" customHeight="1">
      <x:c r="A32" s="2"/>
      <x:c r="B32" s="2"/>
      <x:c r="C32" s="26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60" customHeight="1">
      <x:c r="A33" s="2"/>
      <x:c r="B33" s="2" t="str">
        <x:v>Analyst assessment</x:v>
      </x:c>
      <x:c r="C33" s="33" t="str">
        <x:v>Review unresolved legal expenses.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30" customHeight="1">
      <x:c r="A34" s="2"/>
      <x:c r="B34" s="2"/>
      <x:c r="C34" s="26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30" customHeight="1">
      <x:c r="A35" s="2"/>
      <x:c r="B35" s="2"/>
      <x:c r="C35" s="26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30" customHeight="1">
      <x:c r="A36" s="2"/>
      <x:c r="B36" s="2" t="str">
        <x:v>No acquisition recommendation. All example inputs are fictional.</x:v>
      </x:c>
      <x:c r="C36" s="26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30" customHeight="1">
      <x:c r="A37" s="2"/>
      <x:c r="B37" s="2" t="str">
        <x:v>Read Method before use. Browser changes do not sync to this workbook.</x:v>
      </x:c>
      <x:c r="C37" s="26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30" customHeight="1">
      <x:c r="A38" s="2"/>
      <x:c r="B38" s="2"/>
      <x:c r="C38" s="26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30" customHeight="1">
      <x:c r="A39" s="2"/>
      <x:c r="B39" s="2"/>
      <x:c r="C39" s="26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30" customHeight="1">
      <x:c r="A40" s="2"/>
      <x:c r="B40" s="2"/>
      <x:c r="C40" s="26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30" customHeight="1">
      <x:c r="A41" s="2"/>
      <x:c r="B41" s="2"/>
      <x:c r="C41" s="26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30" customHeight="1">
      <x:c r="A42" s="2"/>
      <x:c r="B42" s="2"/>
      <x:c r="C42" s="26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30" customHeight="1">
      <x:c r="A43" s="2"/>
      <x:c r="B43" s="2"/>
      <x:c r="C43" s="26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30" customHeight="1">
      <x:c r="A44" s="2"/>
      <x:c r="B44" s="2"/>
      <x:c r="C44" s="26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30" customHeight="1">
      <x:c r="A45" s="2"/>
      <x:c r="B45" s="2"/>
      <x:c r="C45" s="26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2" hidden="0" customWidth="1"/>
    <x:col min="3" max="3" width="24" hidden="0" customWidth="1"/>
    <x:col min="4" max="4" width="3" hidden="0" customWidth="1"/>
    <x:col min="5" max="5" width="6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2"/>
      <x:c r="B2" s="3" t="str">
        <x:v>Deal inputs and source figures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/>
      <x:c r="B3" s="2" t="str">
        <x:v>Amber = editable inputs • blue = entered figures • green = cross-sheet formulas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2"/>
      <x:c r="B5" s="2" t="str">
        <x:v>Company</x:v>
      </x:c>
      <x:c r="C5" s="33" t="str">
        <x:v>Harbor Commercial Services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0" customHeight="1">
      <x:c r="A6" s="2"/>
      <x:c r="B6" s="2" t="str">
        <x:v>Selected period</x:v>
      </x:c>
      <x:c r="C6" s="33" t="str">
        <x:v>FY2025</x:v>
      </x:c>
      <x:c r="D6" s="2"/>
      <x:c r="E6" s="2" t="str">
        <x:v>All adjustment period labels must match exactly.</x:v>
      </x:c>
      <x:c r="F6" s="2"/>
      <x:c r="G6" s="2"/>
      <x:c r="H6" s="2"/>
      <x:c r="I6" s="2"/>
      <x:c r="J6" s="2"/>
      <x:c r="K6" s="2"/>
      <x:c r="L6" s="2"/>
      <x:c r="M6" s="2"/>
      <x:c r="N6" s="2"/>
    </x:row>
    <x:row r="7" ht="30" customHeight="1">
      <x:c r="A7" s="2"/>
      <x:c r="B7" s="2" t="str">
        <x:v>Accounting basis</x:v>
      </x:c>
      <x:c r="C7" s="33" t="str">
        <x:v>Accrual</x:v>
      </x:c>
      <x:c r="D7" s="2"/>
      <x:c r="E7" s="2" t="str">
        <x:v>Cash/tax basis requires additional timing review.</x:v>
      </x:c>
      <x:c r="F7" s="2"/>
      <x:c r="G7" s="2"/>
      <x:c r="H7" s="2"/>
      <x:c r="I7" s="2"/>
      <x:c r="J7" s="2"/>
      <x:c r="K7" s="2"/>
      <x:c r="L7" s="2"/>
      <x:c r="M7" s="2"/>
      <x:c r="N7" s="2"/>
    </x:row>
    <x:row r="8" ht="30" customHeight="1">
      <x:c r="A8" s="2"/>
      <x:c r="B8" s="2" t="str">
        <x:v>Months in period</x:v>
      </x:c>
      <x:c r="C8" s="34" t="n">
        <x:v>12</x:v>
      </x:c>
      <x:c r="D8" s="2"/>
      <x:c r="E8" s="2" t="str">
        <x:v>Must equal 12; no annualization.</x:v>
      </x:c>
      <x:c r="F8" s="2"/>
      <x:c r="G8" s="2"/>
      <x:c r="H8" s="2"/>
      <x:c r="I8" s="2"/>
      <x:c r="J8" s="2"/>
      <x:c r="K8" s="2"/>
      <x:c r="L8" s="2"/>
      <x:c r="M8" s="2"/>
      <x:c r="N8" s="2"/>
    </x:row>
    <x:row r="9" ht="30" customHeight="1">
      <x:c r="A9" s="2"/>
      <x:c r="B9" s="2"/>
      <x:c r="C9" s="26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30" customHeight="1">
      <x:c r="A10" s="2"/>
      <x:c r="B10" s="2" t="str">
        <x:v>Revenue</x:v>
      </x:c>
      <x:c r="C10" s="34" t="n">
        <x:v>5000000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30" customHeight="1">
      <x:c r="A11" s="2"/>
      <x:c r="B11" s="2" t="str">
        <x:v>Net income</x:v>
      </x:c>
      <x:c r="C11" s="34" t="n">
        <x:v>450000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30" customHeight="1">
      <x:c r="A12" s="2"/>
      <x:c r="B12" s="2" t="str">
        <x:v>Interest expense</x:v>
      </x:c>
      <x:c r="C12" s="34" t="n">
        <x:v>80000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30" customHeight="1">
      <x:c r="A13" s="2"/>
      <x:c r="B13" s="2" t="str">
        <x:v>Income tax expense</x:v>
      </x:c>
      <x:c r="C13" s="34" t="n">
        <x:v>70000</x:v>
      </x:c>
      <x:c r="D13" s="2"/>
      <x:c r="E13" s="2" t="str">
        <x:v>Company P&amp;L expense; do not assume owner taxes are company expense.</x:v>
      </x:c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30" customHeight="1">
      <x:c r="A14" s="2"/>
      <x:c r="B14" s="2" t="str">
        <x:v>Depreciation &amp; amortization</x:v>
      </x:c>
      <x:c r="C14" s="34" t="n">
        <x:v>100000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30" customHeight="1">
      <x:c r="A15" s="2"/>
      <x:c r="B15" s="2"/>
      <x:c r="C15" s="26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0" customHeight="1">
      <x:c r="A16" s="2"/>
      <x:c r="B16" s="2" t="str">
        <x:v>Historical EBITDA</x:v>
      </x:c>
      <x:c r="C16" s="29" t="n">
        <x:f>IF(AND(C8=12,COUNT(C11:C14)=4,C6&lt;&gt;""),SUM(C11:C14),"Incomplete")</x:f>
        <x:v>700000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30" customHeight="1">
      <x:c r="A17" s="2"/>
      <x:c r="B17" s="2"/>
      <x:c r="C17" s="26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30" customHeight="1">
      <x:c r="A18" s="2"/>
      <x:c r="B18" s="2" t="str">
        <x:v>Enterprise value assumption</x:v>
      </x:c>
      <x:c r="C18" s="34" t="n">
        <x:v>5000000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0" customHeight="1">
      <x:c r="A19" s="2"/>
      <x:c r="B19" s="2" t="str">
        <x:v>EV basis confirmed?</x:v>
      </x:c>
      <x:c r="C19" s="33" t="str">
        <x:v>Yes</x:v>
      </x:c>
      <x:c r="D19" s="2"/>
      <x:c r="E19" s="2" t="str">
        <x:v>Select Yes only after documenting price basis.</x:v>
      </x:c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30" customHeight="1">
      <x:c r="A20" s="2"/>
      <x:c r="B20" s="2" t="str">
        <x:v>Seller note included in EV</x:v>
      </x:c>
      <x:c r="C20" s="34" t="n">
        <x:v>500000</x:v>
      </x:c>
      <x:c r="D20" s="2"/>
      <x:c r="E20" s="2" t="str">
        <x:v>Disclosure only; do not add to EV again.</x:v>
      </x:c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30" customHeight="1">
      <x:c r="A21" s="2"/>
      <x:c r="B21" s="2" t="str">
        <x:v>Earnout value included in EV</x:v>
      </x:c>
      <x:c r="C21" s="34" t="n">
        <x:v>0</x:v>
      </x:c>
      <x:c r="D21" s="2"/>
      <x:c r="E21" s="2" t="str">
        <x:v>Disclosure only; fair value / selected value must be explained.</x:v>
      </x:c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46" customHeight="1">
      <x:c r="A22" s="2"/>
      <x:c r="B22" s="2" t="str">
        <x:v>Price basis notes</x:v>
      </x:c>
      <x:c r="C22" s="33" t="str">
        <x:v>Cash-free/debt-free; normal NWC included.</x:v>
      </x:c>
      <x:c r="D22" s="2"/>
      <x:c r="E22" s="2" t="str">
        <x:v>Seller note is part of $5 million EV. Fees excluded.</x:v>
      </x:c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30" customHeight="1">
      <x:c r="A23" s="2"/>
      <x:c r="B23" s="2"/>
      <x:c r="C23" s="26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30" customHeight="1">
      <x:c r="A24" s="2"/>
      <x:c r="B24" s="2"/>
      <x:c r="C24" s="26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30" customHeight="1">
      <x:c r="A25" s="2"/>
      <x:c r="B25" s="2" t="str">
        <x:v>Revenue change</x:v>
      </x:c>
      <x:c r="C25" s="35" t="n">
        <x:v>-0.1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30" customHeight="1">
      <x:c r="A26" s="2"/>
      <x:c r="B26" s="2" t="str">
        <x:v>Contribution margin</x:v>
      </x:c>
      <x:c r="C26" s="35" t="n">
        <x:v>0.4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30" customHeight="1">
      <x:c r="A27" s="2"/>
      <x:c r="B27" s="2" t="str">
        <x:v>Additional scenario operating costs</x:v>
      </x:c>
      <x:c r="C27" s="34" t="n">
        <x:v>20000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30" customHeight="1">
      <x:c r="A28" s="2"/>
      <x:c r="B28" s="2"/>
      <x:c r="C28" s="26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30" customHeight="1">
      <x:c r="A29" s="2"/>
      <x:c r="B29" s="2"/>
      <x:c r="C29" s="26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30" customHeight="1">
      <x:c r="A30" s="2"/>
      <x:c r="B30" s="2"/>
      <x:c r="C30" s="26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30" customHeight="1">
      <x:c r="A31" s="2"/>
      <x:c r="B31" s="2"/>
      <x:c r="C31" s="26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30" customHeight="1">
      <x:c r="A32" s="2"/>
      <x:c r="B32" s="2"/>
      <x:c r="C32" s="26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30" customHeight="1">
      <x:c r="A33" s="2"/>
      <x:c r="B33" s="2"/>
      <x:c r="C33" s="26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30" customHeight="1">
      <x:c r="A34" s="2"/>
      <x:c r="B34" s="2"/>
      <x:c r="C34" s="26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30" customHeight="1">
      <x:c r="A35" s="2"/>
      <x:c r="B35" s="2"/>
      <x:c r="C35" s="26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30" customHeight="1">
      <x:c r="A36" s="2"/>
      <x:c r="B36" s="2"/>
      <x:c r="C36" s="26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30" customHeight="1">
      <x:c r="A37" s="2"/>
      <x:c r="B37" s="2"/>
      <x:c r="C37" s="26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30" customHeight="1">
      <x:c r="A38" s="2"/>
      <x:c r="B38" s="2"/>
      <x:c r="C38" s="26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30" customHeight="1">
      <x:c r="A39" s="2"/>
      <x:c r="B39" s="2"/>
      <x:c r="C39" s="26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30" customHeight="1">
      <x:c r="A40" s="2"/>
      <x:c r="B40" s="2"/>
      <x:c r="C40" s="26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30" customHeight="1">
      <x:c r="A41" s="2"/>
      <x:c r="B41" s="2"/>
      <x:c r="C41" s="26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30" customHeight="1">
      <x:c r="A42" s="2"/>
      <x:c r="B42" s="2"/>
      <x:c r="C42" s="26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30" customHeight="1">
      <x:c r="A43" s="2"/>
      <x:c r="B43" s="2"/>
      <x:c r="C43" s="26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30" customHeight="1">
      <x:c r="A44" s="2"/>
      <x:c r="B44" s="2"/>
      <x:c r="C44" s="26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30" customHeight="1">
      <x:c r="A45" s="2"/>
      <x:c r="B45" s="2"/>
      <x:c r="C45" s="26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dataValidations count="2">
    <x:dataValidation type="list" sqref="C19">
      <x:formula1>"Yes,No"</x:formula1>
    </x:dataValidation>
    <x:dataValidation type="list" sqref="C7">
      <x:formula1>"Accrual,Cash,Tax,Unknown"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9" hidden="0" customWidth="1"/>
    <x:col min="3" max="3" width="36" hidden="0" customWidth="1"/>
    <x:col min="4" max="4" width="13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45" hidden="0" customWidth="1"/>
    <x:col min="12" max="12" width="18" hidden="0" customWidth="1"/>
    <x:col min="13" max="13" width="18" hidden="0" customWidth="1"/>
    <x:col min="14" max="14" width="2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2"/>
      <x:c r="B2" s="3" t="str">
        <x:v>Signed earnings adjustments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/>
      <x:c r="B3" s="2" t="str">
        <x:v>Assumed = user-selected, not verified. Positive adds earnings; negative removes earnings.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2"/>
      <x:c r="B5" s="12" t="str">
        <x:v>ID</x:v>
      </x:c>
      <x:c r="C5" s="36" t="str">
        <x:v>Description</x:v>
      </x:c>
      <x:c r="D5" s="12" t="str">
        <x:v>Origin</x:v>
      </x:c>
      <x:c r="E5" s="12" t="str">
        <x:v>Category</x:v>
      </x:c>
      <x:c r="F5" s="12" t="str">
        <x:v>Period</x:v>
      </x:c>
      <x:c r="G5" s="12" t="str">
        <x:v>Seller claim</x:v>
      </x:c>
      <x:c r="H5" s="12" t="str">
        <x:v>Buyer amount</x:v>
      </x:c>
      <x:c r="I5" s="12" t="str">
        <x:v>Treatment</x:v>
      </x:c>
      <x:c r="J5" s="12" t="str">
        <x:v>Replacement cost</x:v>
      </x:c>
      <x:c r="K5" s="12" t="str">
        <x:v>Evidence / notes</x:v>
      </x:c>
      <x:c r="L5" s="12" t="str">
        <x:v>Historical net</x:v>
      </x:c>
      <x:c r="M5" s="12" t="str">
        <x:v>Pro forma net</x:v>
      </x:c>
      <x:c r="N5" s="12" t="str">
        <x:v>Row review</x:v>
      </x:c>
    </x:row>
    <x:row r="6" ht="42" customHeight="1">
      <x:c r="A6" s="2"/>
      <x:c r="B6" s="7" t="str">
        <x:v>A1</x:v>
      </x:c>
      <x:c r="C6" s="33" t="str">
        <x:v>Remove departing owner compensation</x:v>
      </x:c>
      <x:c r="D6" s="7" t="str">
        <x:v>seller</x:v>
      </x:c>
      <x:c r="E6" s="7" t="str">
        <x:v>owner</x:v>
      </x:c>
      <x:c r="F6" s="7" t="str">
        <x:v>FY2025</x:v>
      </x:c>
      <x:c r="G6" s="8" t="n">
        <x:v>220000</x:v>
      </x:c>
      <x:c r="H6" s="8" t="n">
        <x:v>220000</x:v>
      </x:c>
      <x:c r="I6" s="13" t="str">
        <x:v>assumed</x:v>
      </x:c>
      <x:c r="J6" s="8" t="n">
        <x:v>120000</x:v>
      </x:c>
      <x:c r="K6" s="33" t="str">
        <x:v>Synthetic payroll summary / Replacement includes salary, benefits, and employer taxes.</x:v>
      </x:c>
      <x:c r="L6" s="9" t="n">
        <x:f>IF(B6="",0,IF(N6&lt;&gt;"OK","Incomplete",IF(AND(I6="assumed",E6&lt;&gt;"proforma"),H6-IF(AND(E6="owner",H6&gt;0),J6,0),0)))</x:f>
        <x:v>100000</x:v>
      </x:c>
      <x:c r="M6" s="9" t="n">
        <x:f>IF(B6="",0,IF(N6&lt;&gt;"OK","Incomplete",IF(AND(I6="assumed",E6="proforma"),H6,0)))</x:f>
        <x:v>0</x:v>
      </x:c>
      <x:c r="N6" s="4" t="str">
        <x:f>IF(B6="","",IF(OR(COUNTIFS($B$6:$B$35,B6)&gt;1,F6&lt;&gt;'Inputs'!C6,AND(D6&lt;&gt;"seller",D6&lt;&gt;"buyer"),AND(E6&lt;&gt;"normalization",E6&lt;&gt;"owner",E6&lt;&gt;"proforma"),AND(I6&lt;&gt;"assumed",I6&lt;&gt;"rejected",I6&lt;&gt;"unresolved"),AND(D6="seller",NOT(ISNUMBER(G6))),AND(I6="assumed",NOT(ISNUMBER(H6))),AND(I6="assumed",E6="owner",H6&gt;0,OR(NOT(ISNUMBER(J6)),J6&lt;0))),"Fix input","OK"))</x:f>
        <x:v>OK</x:v>
      </x:c>
    </x:row>
    <x:row r="7" ht="42" customHeight="1">
      <x:c r="A7" s="2"/>
      <x:c r="B7" s="7" t="str">
        <x:v>A2</x:v>
      </x:c>
      <x:c r="C7" s="33" t="str">
        <x:v>Claimed nonrecurring legal fees</x:v>
      </x:c>
      <x:c r="D7" s="7" t="str">
        <x:v>seller</x:v>
      </x:c>
      <x:c r="E7" s="7" t="str">
        <x:v>normalization</x:v>
      </x:c>
      <x:c r="F7" s="7" t="str">
        <x:v>FY2025</x:v>
      </x:c>
      <x:c r="G7" s="8" t="n">
        <x:v>80000</x:v>
      </x:c>
      <x:c r="H7" s="8"/>
      <x:c r="I7" s="13" t="str">
        <x:v>unresolved</x:v>
      </x:c>
      <x:c r="J7" s="8" t="n">
        <x:v>0</x:v>
      </x:c>
      <x:c r="K7" s="33" t="str">
        <x:v> / Confirm dispute is resolved.</x:v>
      </x:c>
      <x:c r="L7" s="9" t="n">
        <x:f>IF(B7="",0,IF(N7&lt;&gt;"OK","Incomplete",IF(AND(I7="assumed",E7&lt;&gt;"proforma"),H7-IF(AND(E7="owner",H7&gt;0),J7,0),0)))</x:f>
        <x:v>0</x:v>
      </x:c>
      <x:c r="M7" s="9" t="n">
        <x:f>IF(B7="",0,IF(N7&lt;&gt;"OK","Incomplete",IF(AND(I7="assumed",E7="proforma"),H7,0)))</x:f>
        <x:v>0</x:v>
      </x:c>
      <x:c r="N7" s="4" t="str">
        <x:f>IF(B7="","",IF(OR(COUNTIFS($B$6:$B$35,B7)&gt;1,F7&lt;&gt;'Inputs'!C6,AND(D7&lt;&gt;"seller",D7&lt;&gt;"buyer"),AND(E7&lt;&gt;"normalization",E7&lt;&gt;"owner",E7&lt;&gt;"proforma"),AND(I7&lt;&gt;"assumed",I7&lt;&gt;"rejected",I7&lt;&gt;"unresolved"),AND(D7="seller",NOT(ISNUMBER(G7))),AND(I7="assumed",NOT(ISNUMBER(H7))),AND(I7="assumed",E7="owner",H7&gt;0,OR(NOT(ISNUMBER(J7)),J7&lt;0))),"Fix input","OK"))</x:f>
        <x:v>OK</x:v>
      </x:c>
    </x:row>
    <x:row r="8" ht="42" customHeight="1">
      <x:c r="A8" s="2"/>
      <x:c r="B8" s="7" t="str">
        <x:v>A3</x:v>
      </x:c>
      <x:c r="C8" s="33" t="str">
        <x:v>Remove one-time project revenue</x:v>
      </x:c>
      <x:c r="D8" s="7" t="str">
        <x:v>buyer</x:v>
      </x:c>
      <x:c r="E8" s="7" t="str">
        <x:v>normalization</x:v>
      </x:c>
      <x:c r="F8" s="7" t="str">
        <x:v>FY2025</x:v>
      </x:c>
      <x:c r="G8" s="8"/>
      <x:c r="H8" s="8" t="n">
        <x:v>-25000</x:v>
      </x:c>
      <x:c r="I8" s="13" t="str">
        <x:v>assumed</x:v>
      </x:c>
      <x:c r="J8" s="8" t="n">
        <x:v>0</x:v>
      </x:c>
      <x:c r="K8" s="33" t="str">
        <x:v>Synthetic invoice review / Negative adjustment: profit impact, not gross invoice value.</x:v>
      </x:c>
      <x:c r="L8" s="9" t="n">
        <x:f>IF(B8="",0,IF(N8&lt;&gt;"OK","Incomplete",IF(AND(I8="assumed",E8&lt;&gt;"proforma"),H8-IF(AND(E8="owner",H8&gt;0),J8,0),0)))</x:f>
        <x:v>-25000</x:v>
      </x:c>
      <x:c r="M8" s="9" t="n">
        <x:f>IF(B8="",0,IF(N8&lt;&gt;"OK","Incomplete",IF(AND(I8="assumed",E8="proforma"),H8,0)))</x:f>
        <x:v>0</x:v>
      </x:c>
      <x:c r="N8" s="4" t="str">
        <x:f>IF(B8="","",IF(OR(COUNTIFS($B$6:$B$35,B8)&gt;1,F8&lt;&gt;'Inputs'!C6,AND(D8&lt;&gt;"seller",D8&lt;&gt;"buyer"),AND(E8&lt;&gt;"normalization",E8&lt;&gt;"owner",E8&lt;&gt;"proforma"),AND(I8&lt;&gt;"assumed",I8&lt;&gt;"rejected",I8&lt;&gt;"unresolved"),AND(D8="seller",NOT(ISNUMBER(G8))),AND(I8="assumed",NOT(ISNUMBER(H8))),AND(I8="assumed",E8="owner",H8&gt;0,OR(NOT(ISNUMBER(J8)),J8&lt;0))),"Fix input","OK"))</x:f>
        <x:v>OK</x:v>
      </x:c>
    </x:row>
    <x:row r="9" ht="42" customHeight="1">
      <x:c r="A9" s="2"/>
      <x:c r="B9" s="7" t="str">
        <x:v>A4</x:v>
      </x:c>
      <x:c r="C9" s="33" t="str">
        <x:v>Proposed supplier savings</x:v>
      </x:c>
      <x:c r="D9" s="7" t="str">
        <x:v>seller</x:v>
      </x:c>
      <x:c r="E9" s="7" t="str">
        <x:v>proforma</x:v>
      </x:c>
      <x:c r="F9" s="7" t="str">
        <x:v>FY2025</x:v>
      </x:c>
      <x:c r="G9" s="8" t="n">
        <x:v>50000</x:v>
      </x:c>
      <x:c r="H9" s="8" t="n">
        <x:v>0</x:v>
      </x:c>
      <x:c r="I9" s="13" t="str">
        <x:v>rejected</x:v>
      </x:c>
      <x:c r="J9" s="8" t="n">
        <x:v>0</x:v>
      </x:c>
      <x:c r="K9" s="33" t="str">
        <x:v> / Uncontracted savings excluded.</x:v>
      </x:c>
      <x:c r="L9" s="9" t="n">
        <x:f>IF(B9="",0,IF(N9&lt;&gt;"OK","Incomplete",IF(AND(I9="assumed",E9&lt;&gt;"proforma"),H9-IF(AND(E9="owner",H9&gt;0),J9,0),0)))</x:f>
        <x:v>0</x:v>
      </x:c>
      <x:c r="M9" s="9" t="n">
        <x:f>IF(B9="",0,IF(N9&lt;&gt;"OK","Incomplete",IF(AND(I9="assumed",E9="proforma"),H9,0)))</x:f>
        <x:v>0</x:v>
      </x:c>
      <x:c r="N9" s="4" t="str">
        <x:f>IF(B9="","",IF(OR(COUNTIFS($B$6:$B$35,B9)&gt;1,F9&lt;&gt;'Inputs'!C6,AND(D9&lt;&gt;"seller",D9&lt;&gt;"buyer"),AND(E9&lt;&gt;"normalization",E9&lt;&gt;"owner",E9&lt;&gt;"proforma"),AND(I9&lt;&gt;"assumed",I9&lt;&gt;"rejected",I9&lt;&gt;"unresolved"),AND(D9="seller",NOT(ISNUMBER(G9))),AND(I9="assumed",NOT(ISNUMBER(H9))),AND(I9="assumed",E9="owner",H9&gt;0,OR(NOT(ISNUMBER(J9)),J9&lt;0))),"Fix input","OK"))</x:f>
        <x:v>OK</x:v>
      </x:c>
    </x:row>
    <x:row r="10" ht="42" customHeight="1">
      <x:c r="A10" s="2"/>
      <x:c r="B10" s="7"/>
      <x:c r="C10" s="33"/>
      <x:c r="D10" s="7"/>
      <x:c r="E10" s="7"/>
      <x:c r="F10" s="7"/>
      <x:c r="G10" s="8"/>
      <x:c r="H10" s="8"/>
      <x:c r="I10" s="13"/>
      <x:c r="J10" s="8"/>
      <x:c r="K10" s="33"/>
      <x:c r="L10" s="9" t="n">
        <x:f>IF(B10="",0,IF(N10&lt;&gt;"OK","Incomplete",IF(AND(I10="assumed",E10&lt;&gt;"proforma"),H10-IF(AND(E10="owner",H10&gt;0),J10,0),0)))</x:f>
        <x:v>0</x:v>
      </x:c>
      <x:c r="M10" s="9" t="n">
        <x:f>IF(B10="",0,IF(N10&lt;&gt;"OK","Incomplete",IF(AND(I10="assumed",E10="proforma"),H10,0)))</x:f>
        <x:v>0</x:v>
      </x:c>
      <x:c r="N10" s="4" t="str">
        <x:f>IF(B10="","",IF(OR(COUNTIFS($B$6:$B$35,B10)&gt;1,F10&lt;&gt;'Inputs'!C6,AND(D10&lt;&gt;"seller",D10&lt;&gt;"buyer"),AND(E10&lt;&gt;"normalization",E10&lt;&gt;"owner",E10&lt;&gt;"proforma"),AND(I10&lt;&gt;"assumed",I10&lt;&gt;"rejected",I10&lt;&gt;"unresolved"),AND(D10="seller",NOT(ISNUMBER(G10))),AND(I10="assumed",NOT(ISNUMBER(H10))),AND(I10="assumed",E10="owner",H10&gt;0,OR(NOT(ISNUMBER(J10)),J10&lt;0))),"Fix input","OK"))</x:f>
      </x:c>
    </x:row>
    <x:row r="11" ht="42" customHeight="1">
      <x:c r="A11" s="2"/>
      <x:c r="B11" s="7"/>
      <x:c r="C11" s="33"/>
      <x:c r="D11" s="7"/>
      <x:c r="E11" s="7"/>
      <x:c r="F11" s="7"/>
      <x:c r="G11" s="8"/>
      <x:c r="H11" s="8"/>
      <x:c r="I11" s="13"/>
      <x:c r="J11" s="8"/>
      <x:c r="K11" s="33"/>
      <x:c r="L11" s="9" t="n">
        <x:f>IF(B11="",0,IF(N11&lt;&gt;"OK","Incomplete",IF(AND(I11="assumed",E11&lt;&gt;"proforma"),H11-IF(AND(E11="owner",H11&gt;0),J11,0),0)))</x:f>
        <x:v>0</x:v>
      </x:c>
      <x:c r="M11" s="9" t="n">
        <x:f>IF(B11="",0,IF(N11&lt;&gt;"OK","Incomplete",IF(AND(I11="assumed",E11="proforma"),H11,0)))</x:f>
        <x:v>0</x:v>
      </x:c>
      <x:c r="N11" s="4" t="str">
        <x:f>IF(B11="","",IF(OR(COUNTIFS($B$6:$B$35,B11)&gt;1,F11&lt;&gt;'Inputs'!C6,AND(D11&lt;&gt;"seller",D11&lt;&gt;"buyer"),AND(E11&lt;&gt;"normalization",E11&lt;&gt;"owner",E11&lt;&gt;"proforma"),AND(I11&lt;&gt;"assumed",I11&lt;&gt;"rejected",I11&lt;&gt;"unresolved"),AND(D11="seller",NOT(ISNUMBER(G11))),AND(I11="assumed",NOT(ISNUMBER(H11))),AND(I11="assumed",E11="owner",H11&gt;0,OR(NOT(ISNUMBER(J11)),J11&lt;0))),"Fix input","OK"))</x:f>
      </x:c>
    </x:row>
    <x:row r="12" ht="42" customHeight="1">
      <x:c r="A12" s="2"/>
      <x:c r="B12" s="7"/>
      <x:c r="C12" s="33"/>
      <x:c r="D12" s="7"/>
      <x:c r="E12" s="7"/>
      <x:c r="F12" s="7"/>
      <x:c r="G12" s="8"/>
      <x:c r="H12" s="8"/>
      <x:c r="I12" s="13"/>
      <x:c r="J12" s="8"/>
      <x:c r="K12" s="33"/>
      <x:c r="L12" s="9" t="n">
        <x:f>IF(B12="",0,IF(N12&lt;&gt;"OK","Incomplete",IF(AND(I12="assumed",E12&lt;&gt;"proforma"),H12-IF(AND(E12="owner",H12&gt;0),J12,0),0)))</x:f>
        <x:v>0</x:v>
      </x:c>
      <x:c r="M12" s="9" t="n">
        <x:f>IF(B12="",0,IF(N12&lt;&gt;"OK","Incomplete",IF(AND(I12="assumed",E12="proforma"),H12,0)))</x:f>
        <x:v>0</x:v>
      </x:c>
      <x:c r="N12" s="4" t="str">
        <x:f>IF(B12="","",IF(OR(COUNTIFS($B$6:$B$35,B12)&gt;1,F12&lt;&gt;'Inputs'!C6,AND(D12&lt;&gt;"seller",D12&lt;&gt;"buyer"),AND(E12&lt;&gt;"normalization",E12&lt;&gt;"owner",E12&lt;&gt;"proforma"),AND(I12&lt;&gt;"assumed",I12&lt;&gt;"rejected",I12&lt;&gt;"unresolved"),AND(D12="seller",NOT(ISNUMBER(G12))),AND(I12="assumed",NOT(ISNUMBER(H12))),AND(I12="assumed",E12="owner",H12&gt;0,OR(NOT(ISNUMBER(J12)),J12&lt;0))),"Fix input","OK"))</x:f>
      </x:c>
    </x:row>
    <x:row r="13" ht="42" customHeight="1">
      <x:c r="A13" s="2"/>
      <x:c r="B13" s="7"/>
      <x:c r="C13" s="33"/>
      <x:c r="D13" s="7"/>
      <x:c r="E13" s="7"/>
      <x:c r="F13" s="7"/>
      <x:c r="G13" s="8"/>
      <x:c r="H13" s="8"/>
      <x:c r="I13" s="13"/>
      <x:c r="J13" s="8"/>
      <x:c r="K13" s="33"/>
      <x:c r="L13" s="9" t="n">
        <x:f>IF(B13="",0,IF(N13&lt;&gt;"OK","Incomplete",IF(AND(I13="assumed",E13&lt;&gt;"proforma"),H13-IF(AND(E13="owner",H13&gt;0),J13,0),0)))</x:f>
        <x:v>0</x:v>
      </x:c>
      <x:c r="M13" s="9" t="n">
        <x:f>IF(B13="",0,IF(N13&lt;&gt;"OK","Incomplete",IF(AND(I13="assumed",E13="proforma"),H13,0)))</x:f>
        <x:v>0</x:v>
      </x:c>
      <x:c r="N13" s="4" t="str">
        <x:f>IF(B13="","",IF(OR(COUNTIFS($B$6:$B$35,B13)&gt;1,F13&lt;&gt;'Inputs'!C6,AND(D13&lt;&gt;"seller",D13&lt;&gt;"buyer"),AND(E13&lt;&gt;"normalization",E13&lt;&gt;"owner",E13&lt;&gt;"proforma"),AND(I13&lt;&gt;"assumed",I13&lt;&gt;"rejected",I13&lt;&gt;"unresolved"),AND(D13="seller",NOT(ISNUMBER(G13))),AND(I13="assumed",NOT(ISNUMBER(H13))),AND(I13="assumed",E13="owner",H13&gt;0,OR(NOT(ISNUMBER(J13)),J13&lt;0))),"Fix input","OK"))</x:f>
      </x:c>
    </x:row>
    <x:row r="14" ht="42" customHeight="1">
      <x:c r="A14" s="2"/>
      <x:c r="B14" s="7"/>
      <x:c r="C14" s="33"/>
      <x:c r="D14" s="7"/>
      <x:c r="E14" s="7"/>
      <x:c r="F14" s="7"/>
      <x:c r="G14" s="8"/>
      <x:c r="H14" s="8"/>
      <x:c r="I14" s="13"/>
      <x:c r="J14" s="8"/>
      <x:c r="K14" s="33"/>
      <x:c r="L14" s="9" t="n">
        <x:f>IF(B14="",0,IF(N14&lt;&gt;"OK","Incomplete",IF(AND(I14="assumed",E14&lt;&gt;"proforma"),H14-IF(AND(E14="owner",H14&gt;0),J14,0),0)))</x:f>
        <x:v>0</x:v>
      </x:c>
      <x:c r="M14" s="9" t="n">
        <x:f>IF(B14="",0,IF(N14&lt;&gt;"OK","Incomplete",IF(AND(I14="assumed",E14="proforma"),H14,0)))</x:f>
        <x:v>0</x:v>
      </x:c>
      <x:c r="N14" s="4" t="str">
        <x:f>IF(B14="","",IF(OR(COUNTIFS($B$6:$B$35,B14)&gt;1,F14&lt;&gt;'Inputs'!C6,AND(D14&lt;&gt;"seller",D14&lt;&gt;"buyer"),AND(E14&lt;&gt;"normalization",E14&lt;&gt;"owner",E14&lt;&gt;"proforma"),AND(I14&lt;&gt;"assumed",I14&lt;&gt;"rejected",I14&lt;&gt;"unresolved"),AND(D14="seller",NOT(ISNUMBER(G14))),AND(I14="assumed",NOT(ISNUMBER(H14))),AND(I14="assumed",E14="owner",H14&gt;0,OR(NOT(ISNUMBER(J14)),J14&lt;0))),"Fix input","OK"))</x:f>
      </x:c>
    </x:row>
    <x:row r="15" ht="42" customHeight="1">
      <x:c r="A15" s="2"/>
      <x:c r="B15" s="7"/>
      <x:c r="C15" s="33"/>
      <x:c r="D15" s="7"/>
      <x:c r="E15" s="7"/>
      <x:c r="F15" s="7"/>
      <x:c r="G15" s="8"/>
      <x:c r="H15" s="8"/>
      <x:c r="I15" s="13"/>
      <x:c r="J15" s="8"/>
      <x:c r="K15" s="33"/>
      <x:c r="L15" s="9" t="n">
        <x:f>IF(B15="",0,IF(N15&lt;&gt;"OK","Incomplete",IF(AND(I15="assumed",E15&lt;&gt;"proforma"),H15-IF(AND(E15="owner",H15&gt;0),J15,0),0)))</x:f>
        <x:v>0</x:v>
      </x:c>
      <x:c r="M15" s="9" t="n">
        <x:f>IF(B15="",0,IF(N15&lt;&gt;"OK","Incomplete",IF(AND(I15="assumed",E15="proforma"),H15,0)))</x:f>
        <x:v>0</x:v>
      </x:c>
      <x:c r="N15" s="4" t="str">
        <x:f>IF(B15="","",IF(OR(COUNTIFS($B$6:$B$35,B15)&gt;1,F15&lt;&gt;'Inputs'!C6,AND(D15&lt;&gt;"seller",D15&lt;&gt;"buyer"),AND(E15&lt;&gt;"normalization",E15&lt;&gt;"owner",E15&lt;&gt;"proforma"),AND(I15&lt;&gt;"assumed",I15&lt;&gt;"rejected",I15&lt;&gt;"unresolved"),AND(D15="seller",NOT(ISNUMBER(G15))),AND(I15="assumed",NOT(ISNUMBER(H15))),AND(I15="assumed",E15="owner",H15&gt;0,OR(NOT(ISNUMBER(J15)),J15&lt;0))),"Fix input","OK"))</x:f>
      </x:c>
    </x:row>
    <x:row r="16" ht="42" customHeight="1">
      <x:c r="A16" s="2"/>
      <x:c r="B16" s="7"/>
      <x:c r="C16" s="33"/>
      <x:c r="D16" s="7"/>
      <x:c r="E16" s="7"/>
      <x:c r="F16" s="7"/>
      <x:c r="G16" s="8"/>
      <x:c r="H16" s="8"/>
      <x:c r="I16" s="13"/>
      <x:c r="J16" s="8"/>
      <x:c r="K16" s="33"/>
      <x:c r="L16" s="9" t="n">
        <x:f>IF(B16="",0,IF(N16&lt;&gt;"OK","Incomplete",IF(AND(I16="assumed",E16&lt;&gt;"proforma"),H16-IF(AND(E16="owner",H16&gt;0),J16,0),0)))</x:f>
        <x:v>0</x:v>
      </x:c>
      <x:c r="M16" s="9" t="n">
        <x:f>IF(B16="",0,IF(N16&lt;&gt;"OK","Incomplete",IF(AND(I16="assumed",E16="proforma"),H16,0)))</x:f>
        <x:v>0</x:v>
      </x:c>
      <x:c r="N16" s="4" t="str">
        <x:f>IF(B16="","",IF(OR(COUNTIFS($B$6:$B$35,B16)&gt;1,F16&lt;&gt;'Inputs'!C6,AND(D16&lt;&gt;"seller",D16&lt;&gt;"buyer"),AND(E16&lt;&gt;"normalization",E16&lt;&gt;"owner",E16&lt;&gt;"proforma"),AND(I16&lt;&gt;"assumed",I16&lt;&gt;"rejected",I16&lt;&gt;"unresolved"),AND(D16="seller",NOT(ISNUMBER(G16))),AND(I16="assumed",NOT(ISNUMBER(H16))),AND(I16="assumed",E16="owner",H16&gt;0,OR(NOT(ISNUMBER(J16)),J16&lt;0))),"Fix input","OK"))</x:f>
      </x:c>
    </x:row>
    <x:row r="17" ht="42" customHeight="1">
      <x:c r="A17" s="2"/>
      <x:c r="B17" s="7"/>
      <x:c r="C17" s="33"/>
      <x:c r="D17" s="7"/>
      <x:c r="E17" s="7"/>
      <x:c r="F17" s="7"/>
      <x:c r="G17" s="8"/>
      <x:c r="H17" s="8"/>
      <x:c r="I17" s="13"/>
      <x:c r="J17" s="8"/>
      <x:c r="K17" s="33"/>
      <x:c r="L17" s="9" t="n">
        <x:f>IF(B17="",0,IF(N17&lt;&gt;"OK","Incomplete",IF(AND(I17="assumed",E17&lt;&gt;"proforma"),H17-IF(AND(E17="owner",H17&gt;0),J17,0),0)))</x:f>
        <x:v>0</x:v>
      </x:c>
      <x:c r="M17" s="9" t="n">
        <x:f>IF(B17="",0,IF(N17&lt;&gt;"OK","Incomplete",IF(AND(I17="assumed",E17="proforma"),H17,0)))</x:f>
        <x:v>0</x:v>
      </x:c>
      <x:c r="N17" s="4" t="str">
        <x:f>IF(B17="","",IF(OR(COUNTIFS($B$6:$B$35,B17)&gt;1,F17&lt;&gt;'Inputs'!C6,AND(D17&lt;&gt;"seller",D17&lt;&gt;"buyer"),AND(E17&lt;&gt;"normalization",E17&lt;&gt;"owner",E17&lt;&gt;"proforma"),AND(I17&lt;&gt;"assumed",I17&lt;&gt;"rejected",I17&lt;&gt;"unresolved"),AND(D17="seller",NOT(ISNUMBER(G17))),AND(I17="assumed",NOT(ISNUMBER(H17))),AND(I17="assumed",E17="owner",H17&gt;0,OR(NOT(ISNUMBER(J17)),J17&lt;0))),"Fix input","OK"))</x:f>
      </x:c>
    </x:row>
    <x:row r="18" ht="42" customHeight="1">
      <x:c r="A18" s="2"/>
      <x:c r="B18" s="7"/>
      <x:c r="C18" s="33"/>
      <x:c r="D18" s="7"/>
      <x:c r="E18" s="7"/>
      <x:c r="F18" s="7"/>
      <x:c r="G18" s="8"/>
      <x:c r="H18" s="8"/>
      <x:c r="I18" s="13"/>
      <x:c r="J18" s="8"/>
      <x:c r="K18" s="33"/>
      <x:c r="L18" s="9" t="n">
        <x:f>IF(B18="",0,IF(N18&lt;&gt;"OK","Incomplete",IF(AND(I18="assumed",E18&lt;&gt;"proforma"),H18-IF(AND(E18="owner",H18&gt;0),J18,0),0)))</x:f>
        <x:v>0</x:v>
      </x:c>
      <x:c r="M18" s="9" t="n">
        <x:f>IF(B18="",0,IF(N18&lt;&gt;"OK","Incomplete",IF(AND(I18="assumed",E18="proforma"),H18,0)))</x:f>
        <x:v>0</x:v>
      </x:c>
      <x:c r="N18" s="4" t="str">
        <x:f>IF(B18="","",IF(OR(COUNTIFS($B$6:$B$35,B18)&gt;1,F18&lt;&gt;'Inputs'!C6,AND(D18&lt;&gt;"seller",D18&lt;&gt;"buyer"),AND(E18&lt;&gt;"normalization",E18&lt;&gt;"owner",E18&lt;&gt;"proforma"),AND(I18&lt;&gt;"assumed",I18&lt;&gt;"rejected",I18&lt;&gt;"unresolved"),AND(D18="seller",NOT(ISNUMBER(G18))),AND(I18="assumed",NOT(ISNUMBER(H18))),AND(I18="assumed",E18="owner",H18&gt;0,OR(NOT(ISNUMBER(J18)),J18&lt;0))),"Fix input","OK"))</x:f>
      </x:c>
    </x:row>
    <x:row r="19" ht="42" customHeight="1">
      <x:c r="A19" s="2"/>
      <x:c r="B19" s="7"/>
      <x:c r="C19" s="33"/>
      <x:c r="D19" s="7"/>
      <x:c r="E19" s="7"/>
      <x:c r="F19" s="7"/>
      <x:c r="G19" s="8"/>
      <x:c r="H19" s="8"/>
      <x:c r="I19" s="13"/>
      <x:c r="J19" s="8"/>
      <x:c r="K19" s="33"/>
      <x:c r="L19" s="9" t="n">
        <x:f>IF(B19="",0,IF(N19&lt;&gt;"OK","Incomplete",IF(AND(I19="assumed",E19&lt;&gt;"proforma"),H19-IF(AND(E19="owner",H19&gt;0),J19,0),0)))</x:f>
        <x:v>0</x:v>
      </x:c>
      <x:c r="M19" s="9" t="n">
        <x:f>IF(B19="",0,IF(N19&lt;&gt;"OK","Incomplete",IF(AND(I19="assumed",E19="proforma"),H19,0)))</x:f>
        <x:v>0</x:v>
      </x:c>
      <x:c r="N19" s="4" t="str">
        <x:f>IF(B19="","",IF(OR(COUNTIFS($B$6:$B$35,B19)&gt;1,F19&lt;&gt;'Inputs'!C6,AND(D19&lt;&gt;"seller",D19&lt;&gt;"buyer"),AND(E19&lt;&gt;"normalization",E19&lt;&gt;"owner",E19&lt;&gt;"proforma"),AND(I19&lt;&gt;"assumed",I19&lt;&gt;"rejected",I19&lt;&gt;"unresolved"),AND(D19="seller",NOT(ISNUMBER(G19))),AND(I19="assumed",NOT(ISNUMBER(H19))),AND(I19="assumed",E19="owner",H19&gt;0,OR(NOT(ISNUMBER(J19)),J19&lt;0))),"Fix input","OK"))</x:f>
      </x:c>
    </x:row>
    <x:row r="20" ht="42" customHeight="1">
      <x:c r="A20" s="2"/>
      <x:c r="B20" s="7"/>
      <x:c r="C20" s="33"/>
      <x:c r="D20" s="7"/>
      <x:c r="E20" s="7"/>
      <x:c r="F20" s="7"/>
      <x:c r="G20" s="8"/>
      <x:c r="H20" s="8"/>
      <x:c r="I20" s="13"/>
      <x:c r="J20" s="8"/>
      <x:c r="K20" s="33"/>
      <x:c r="L20" s="9" t="n">
        <x:f>IF(B20="",0,IF(N20&lt;&gt;"OK","Incomplete",IF(AND(I20="assumed",E20&lt;&gt;"proforma"),H20-IF(AND(E20="owner",H20&gt;0),J20,0),0)))</x:f>
        <x:v>0</x:v>
      </x:c>
      <x:c r="M20" s="9" t="n">
        <x:f>IF(B20="",0,IF(N20&lt;&gt;"OK","Incomplete",IF(AND(I20="assumed",E20="proforma"),H20,0)))</x:f>
        <x:v>0</x:v>
      </x:c>
      <x:c r="N20" s="4" t="str">
        <x:f>IF(B20="","",IF(OR(COUNTIFS($B$6:$B$35,B20)&gt;1,F20&lt;&gt;'Inputs'!C6,AND(D20&lt;&gt;"seller",D20&lt;&gt;"buyer"),AND(E20&lt;&gt;"normalization",E20&lt;&gt;"owner",E20&lt;&gt;"proforma"),AND(I20&lt;&gt;"assumed",I20&lt;&gt;"rejected",I20&lt;&gt;"unresolved"),AND(D20="seller",NOT(ISNUMBER(G20))),AND(I20="assumed",NOT(ISNUMBER(H20))),AND(I20="assumed",E20="owner",H20&gt;0,OR(NOT(ISNUMBER(J20)),J20&lt;0))),"Fix input","OK"))</x:f>
      </x:c>
    </x:row>
    <x:row r="21" ht="42" customHeight="1">
      <x:c r="A21" s="2"/>
      <x:c r="B21" s="7"/>
      <x:c r="C21" s="33"/>
      <x:c r="D21" s="7"/>
      <x:c r="E21" s="7"/>
      <x:c r="F21" s="7"/>
      <x:c r="G21" s="8"/>
      <x:c r="H21" s="8"/>
      <x:c r="I21" s="13"/>
      <x:c r="J21" s="8"/>
      <x:c r="K21" s="33"/>
      <x:c r="L21" s="9" t="n">
        <x:f>IF(B21="",0,IF(N21&lt;&gt;"OK","Incomplete",IF(AND(I21="assumed",E21&lt;&gt;"proforma"),H21-IF(AND(E21="owner",H21&gt;0),J21,0),0)))</x:f>
        <x:v>0</x:v>
      </x:c>
      <x:c r="M21" s="9" t="n">
        <x:f>IF(B21="",0,IF(N21&lt;&gt;"OK","Incomplete",IF(AND(I21="assumed",E21="proforma"),H21,0)))</x:f>
        <x:v>0</x:v>
      </x:c>
      <x:c r="N21" s="4" t="str">
        <x:f>IF(B21="","",IF(OR(COUNTIFS($B$6:$B$35,B21)&gt;1,F21&lt;&gt;'Inputs'!C6,AND(D21&lt;&gt;"seller",D21&lt;&gt;"buyer"),AND(E21&lt;&gt;"normalization",E21&lt;&gt;"owner",E21&lt;&gt;"proforma"),AND(I21&lt;&gt;"assumed",I21&lt;&gt;"rejected",I21&lt;&gt;"unresolved"),AND(D21="seller",NOT(ISNUMBER(G21))),AND(I21="assumed",NOT(ISNUMBER(H21))),AND(I21="assumed",E21="owner",H21&gt;0,OR(NOT(ISNUMBER(J21)),J21&lt;0))),"Fix input","OK"))</x:f>
      </x:c>
    </x:row>
    <x:row r="22" ht="42" customHeight="1">
      <x:c r="A22" s="2"/>
      <x:c r="B22" s="7"/>
      <x:c r="C22" s="33"/>
      <x:c r="D22" s="7"/>
      <x:c r="E22" s="7"/>
      <x:c r="F22" s="7"/>
      <x:c r="G22" s="8"/>
      <x:c r="H22" s="8"/>
      <x:c r="I22" s="13"/>
      <x:c r="J22" s="8"/>
      <x:c r="K22" s="33"/>
      <x:c r="L22" s="9" t="n">
        <x:f>IF(B22="",0,IF(N22&lt;&gt;"OK","Incomplete",IF(AND(I22="assumed",E22&lt;&gt;"proforma"),H22-IF(AND(E22="owner",H22&gt;0),J22,0),0)))</x:f>
        <x:v>0</x:v>
      </x:c>
      <x:c r="M22" s="9" t="n">
        <x:f>IF(B22="",0,IF(N22&lt;&gt;"OK","Incomplete",IF(AND(I22="assumed",E22="proforma"),H22,0)))</x:f>
        <x:v>0</x:v>
      </x:c>
      <x:c r="N22" s="4" t="str">
        <x:f>IF(B22="","",IF(OR(COUNTIFS($B$6:$B$35,B22)&gt;1,F22&lt;&gt;'Inputs'!C6,AND(D22&lt;&gt;"seller",D22&lt;&gt;"buyer"),AND(E22&lt;&gt;"normalization",E22&lt;&gt;"owner",E22&lt;&gt;"proforma"),AND(I22&lt;&gt;"assumed",I22&lt;&gt;"rejected",I22&lt;&gt;"unresolved"),AND(D22="seller",NOT(ISNUMBER(G22))),AND(I22="assumed",NOT(ISNUMBER(H22))),AND(I22="assumed",E22="owner",H22&gt;0,OR(NOT(ISNUMBER(J22)),J22&lt;0))),"Fix input","OK"))</x:f>
      </x:c>
    </x:row>
    <x:row r="23" ht="42" customHeight="1">
      <x:c r="A23" s="2"/>
      <x:c r="B23" s="7"/>
      <x:c r="C23" s="33"/>
      <x:c r="D23" s="7"/>
      <x:c r="E23" s="7"/>
      <x:c r="F23" s="7"/>
      <x:c r="G23" s="8"/>
      <x:c r="H23" s="8"/>
      <x:c r="I23" s="13"/>
      <x:c r="J23" s="8"/>
      <x:c r="K23" s="33"/>
      <x:c r="L23" s="9" t="n">
        <x:f>IF(B23="",0,IF(N23&lt;&gt;"OK","Incomplete",IF(AND(I23="assumed",E23&lt;&gt;"proforma"),H23-IF(AND(E23="owner",H23&gt;0),J23,0),0)))</x:f>
        <x:v>0</x:v>
      </x:c>
      <x:c r="M23" s="9" t="n">
        <x:f>IF(B23="",0,IF(N23&lt;&gt;"OK","Incomplete",IF(AND(I23="assumed",E23="proforma"),H23,0)))</x:f>
        <x:v>0</x:v>
      </x:c>
      <x:c r="N23" s="4" t="str">
        <x:f>IF(B23="","",IF(OR(COUNTIFS($B$6:$B$35,B23)&gt;1,F23&lt;&gt;'Inputs'!C6,AND(D23&lt;&gt;"seller",D23&lt;&gt;"buyer"),AND(E23&lt;&gt;"normalization",E23&lt;&gt;"owner",E23&lt;&gt;"proforma"),AND(I23&lt;&gt;"assumed",I23&lt;&gt;"rejected",I23&lt;&gt;"unresolved"),AND(D23="seller",NOT(ISNUMBER(G23))),AND(I23="assumed",NOT(ISNUMBER(H23))),AND(I23="assumed",E23="owner",H23&gt;0,OR(NOT(ISNUMBER(J23)),J23&lt;0))),"Fix input","OK"))</x:f>
      </x:c>
    </x:row>
    <x:row r="24" ht="42" customHeight="1">
      <x:c r="A24" s="2"/>
      <x:c r="B24" s="7"/>
      <x:c r="C24" s="33"/>
      <x:c r="D24" s="7"/>
      <x:c r="E24" s="7"/>
      <x:c r="F24" s="7"/>
      <x:c r="G24" s="8"/>
      <x:c r="H24" s="8"/>
      <x:c r="I24" s="13"/>
      <x:c r="J24" s="8"/>
      <x:c r="K24" s="33"/>
      <x:c r="L24" s="9" t="n">
        <x:f>IF(B24="",0,IF(N24&lt;&gt;"OK","Incomplete",IF(AND(I24="assumed",E24&lt;&gt;"proforma"),H24-IF(AND(E24="owner",H24&gt;0),J24,0),0)))</x:f>
        <x:v>0</x:v>
      </x:c>
      <x:c r="M24" s="9" t="n">
        <x:f>IF(B24="",0,IF(N24&lt;&gt;"OK","Incomplete",IF(AND(I24="assumed",E24="proforma"),H24,0)))</x:f>
        <x:v>0</x:v>
      </x:c>
      <x:c r="N24" s="4" t="str">
        <x:f>IF(B24="","",IF(OR(COUNTIFS($B$6:$B$35,B24)&gt;1,F24&lt;&gt;'Inputs'!C6,AND(D24&lt;&gt;"seller",D24&lt;&gt;"buyer"),AND(E24&lt;&gt;"normalization",E24&lt;&gt;"owner",E24&lt;&gt;"proforma"),AND(I24&lt;&gt;"assumed",I24&lt;&gt;"rejected",I24&lt;&gt;"unresolved"),AND(D24="seller",NOT(ISNUMBER(G24))),AND(I24="assumed",NOT(ISNUMBER(H24))),AND(I24="assumed",E24="owner",H24&gt;0,OR(NOT(ISNUMBER(J24)),J24&lt;0))),"Fix input","OK"))</x:f>
      </x:c>
    </x:row>
    <x:row r="25" ht="42" customHeight="1">
      <x:c r="A25" s="2"/>
      <x:c r="B25" s="7"/>
      <x:c r="C25" s="33"/>
      <x:c r="D25" s="7"/>
      <x:c r="E25" s="7"/>
      <x:c r="F25" s="7"/>
      <x:c r="G25" s="8"/>
      <x:c r="H25" s="8"/>
      <x:c r="I25" s="13"/>
      <x:c r="J25" s="8"/>
      <x:c r="K25" s="33"/>
      <x:c r="L25" s="9" t="n">
        <x:f>IF(B25="",0,IF(N25&lt;&gt;"OK","Incomplete",IF(AND(I25="assumed",E25&lt;&gt;"proforma"),H25-IF(AND(E25="owner",H25&gt;0),J25,0),0)))</x:f>
        <x:v>0</x:v>
      </x:c>
      <x:c r="M25" s="9" t="n">
        <x:f>IF(B25="",0,IF(N25&lt;&gt;"OK","Incomplete",IF(AND(I25="assumed",E25="proforma"),H25,0)))</x:f>
        <x:v>0</x:v>
      </x:c>
      <x:c r="N25" s="4" t="str">
        <x:f>IF(B25="","",IF(OR(COUNTIFS($B$6:$B$35,B25)&gt;1,F25&lt;&gt;'Inputs'!C6,AND(D25&lt;&gt;"seller",D25&lt;&gt;"buyer"),AND(E25&lt;&gt;"normalization",E25&lt;&gt;"owner",E25&lt;&gt;"proforma"),AND(I25&lt;&gt;"assumed",I25&lt;&gt;"rejected",I25&lt;&gt;"unresolved"),AND(D25="seller",NOT(ISNUMBER(G25))),AND(I25="assumed",NOT(ISNUMBER(H25))),AND(I25="assumed",E25="owner",H25&gt;0,OR(NOT(ISNUMBER(J25)),J25&lt;0))),"Fix input","OK"))</x:f>
      </x:c>
    </x:row>
    <x:row r="26" ht="42" customHeight="1">
      <x:c r="A26" s="2"/>
      <x:c r="B26" s="7"/>
      <x:c r="C26" s="33"/>
      <x:c r="D26" s="7"/>
      <x:c r="E26" s="7"/>
      <x:c r="F26" s="7"/>
      <x:c r="G26" s="8"/>
      <x:c r="H26" s="8"/>
      <x:c r="I26" s="13"/>
      <x:c r="J26" s="8"/>
      <x:c r="K26" s="33"/>
      <x:c r="L26" s="9" t="n">
        <x:f>IF(B26="",0,IF(N26&lt;&gt;"OK","Incomplete",IF(AND(I26="assumed",E26&lt;&gt;"proforma"),H26-IF(AND(E26="owner",H26&gt;0),J26,0),0)))</x:f>
        <x:v>0</x:v>
      </x:c>
      <x:c r="M26" s="9" t="n">
        <x:f>IF(B26="",0,IF(N26&lt;&gt;"OK","Incomplete",IF(AND(I26="assumed",E26="proforma"),H26,0)))</x:f>
        <x:v>0</x:v>
      </x:c>
      <x:c r="N26" s="4" t="str">
        <x:f>IF(B26="","",IF(OR(COUNTIFS($B$6:$B$35,B26)&gt;1,F26&lt;&gt;'Inputs'!C6,AND(D26&lt;&gt;"seller",D26&lt;&gt;"buyer"),AND(E26&lt;&gt;"normalization",E26&lt;&gt;"owner",E26&lt;&gt;"proforma"),AND(I26&lt;&gt;"assumed",I26&lt;&gt;"rejected",I26&lt;&gt;"unresolved"),AND(D26="seller",NOT(ISNUMBER(G26))),AND(I26="assumed",NOT(ISNUMBER(H26))),AND(I26="assumed",E26="owner",H26&gt;0,OR(NOT(ISNUMBER(J26)),J26&lt;0))),"Fix input","OK"))</x:f>
      </x:c>
    </x:row>
    <x:row r="27" ht="42" customHeight="1">
      <x:c r="A27" s="2"/>
      <x:c r="B27" s="7"/>
      <x:c r="C27" s="33"/>
      <x:c r="D27" s="7"/>
      <x:c r="E27" s="7"/>
      <x:c r="F27" s="7"/>
      <x:c r="G27" s="8"/>
      <x:c r="H27" s="8"/>
      <x:c r="I27" s="13"/>
      <x:c r="J27" s="8"/>
      <x:c r="K27" s="33"/>
      <x:c r="L27" s="9" t="n">
        <x:f>IF(B27="",0,IF(N27&lt;&gt;"OK","Incomplete",IF(AND(I27="assumed",E27&lt;&gt;"proforma"),H27-IF(AND(E27="owner",H27&gt;0),J27,0),0)))</x:f>
        <x:v>0</x:v>
      </x:c>
      <x:c r="M27" s="9" t="n">
        <x:f>IF(B27="",0,IF(N27&lt;&gt;"OK","Incomplete",IF(AND(I27="assumed",E27="proforma"),H27,0)))</x:f>
        <x:v>0</x:v>
      </x:c>
      <x:c r="N27" s="4" t="str">
        <x:f>IF(B27="","",IF(OR(COUNTIFS($B$6:$B$35,B27)&gt;1,F27&lt;&gt;'Inputs'!C6,AND(D27&lt;&gt;"seller",D27&lt;&gt;"buyer"),AND(E27&lt;&gt;"normalization",E27&lt;&gt;"owner",E27&lt;&gt;"proforma"),AND(I27&lt;&gt;"assumed",I27&lt;&gt;"rejected",I27&lt;&gt;"unresolved"),AND(D27="seller",NOT(ISNUMBER(G27))),AND(I27="assumed",NOT(ISNUMBER(H27))),AND(I27="assumed",E27="owner",H27&gt;0,OR(NOT(ISNUMBER(J27)),J27&lt;0))),"Fix input","OK"))</x:f>
      </x:c>
    </x:row>
    <x:row r="28" ht="42" customHeight="1">
      <x:c r="A28" s="2"/>
      <x:c r="B28" s="7"/>
      <x:c r="C28" s="33"/>
      <x:c r="D28" s="7"/>
      <x:c r="E28" s="7"/>
      <x:c r="F28" s="7"/>
      <x:c r="G28" s="8"/>
      <x:c r="H28" s="8"/>
      <x:c r="I28" s="13"/>
      <x:c r="J28" s="8"/>
      <x:c r="K28" s="33"/>
      <x:c r="L28" s="9" t="n">
        <x:f>IF(B28="",0,IF(N28&lt;&gt;"OK","Incomplete",IF(AND(I28="assumed",E28&lt;&gt;"proforma"),H28-IF(AND(E28="owner",H28&gt;0),J28,0),0)))</x:f>
        <x:v>0</x:v>
      </x:c>
      <x:c r="M28" s="9" t="n">
        <x:f>IF(B28="",0,IF(N28&lt;&gt;"OK","Incomplete",IF(AND(I28="assumed",E28="proforma"),H28,0)))</x:f>
        <x:v>0</x:v>
      </x:c>
      <x:c r="N28" s="4" t="str">
        <x:f>IF(B28="","",IF(OR(COUNTIFS($B$6:$B$35,B28)&gt;1,F28&lt;&gt;'Inputs'!C6,AND(D28&lt;&gt;"seller",D28&lt;&gt;"buyer"),AND(E28&lt;&gt;"normalization",E28&lt;&gt;"owner",E28&lt;&gt;"proforma"),AND(I28&lt;&gt;"assumed",I28&lt;&gt;"rejected",I28&lt;&gt;"unresolved"),AND(D28="seller",NOT(ISNUMBER(G28))),AND(I28="assumed",NOT(ISNUMBER(H28))),AND(I28="assumed",E28="owner",H28&gt;0,OR(NOT(ISNUMBER(J28)),J28&lt;0))),"Fix input","OK"))</x:f>
      </x:c>
    </x:row>
    <x:row r="29" ht="42" customHeight="1">
      <x:c r="A29" s="2"/>
      <x:c r="B29" s="7"/>
      <x:c r="C29" s="33"/>
      <x:c r="D29" s="7"/>
      <x:c r="E29" s="7"/>
      <x:c r="F29" s="7"/>
      <x:c r="G29" s="8"/>
      <x:c r="H29" s="8"/>
      <x:c r="I29" s="13"/>
      <x:c r="J29" s="8"/>
      <x:c r="K29" s="33"/>
      <x:c r="L29" s="9" t="n">
        <x:f>IF(B29="",0,IF(N29&lt;&gt;"OK","Incomplete",IF(AND(I29="assumed",E29&lt;&gt;"proforma"),H29-IF(AND(E29="owner",H29&gt;0),J29,0),0)))</x:f>
        <x:v>0</x:v>
      </x:c>
      <x:c r="M29" s="9" t="n">
        <x:f>IF(B29="",0,IF(N29&lt;&gt;"OK","Incomplete",IF(AND(I29="assumed",E29="proforma"),H29,0)))</x:f>
        <x:v>0</x:v>
      </x:c>
      <x:c r="N29" s="4" t="str">
        <x:f>IF(B29="","",IF(OR(COUNTIFS($B$6:$B$35,B29)&gt;1,F29&lt;&gt;'Inputs'!C6,AND(D29&lt;&gt;"seller",D29&lt;&gt;"buyer"),AND(E29&lt;&gt;"normalization",E29&lt;&gt;"owner",E29&lt;&gt;"proforma"),AND(I29&lt;&gt;"assumed",I29&lt;&gt;"rejected",I29&lt;&gt;"unresolved"),AND(D29="seller",NOT(ISNUMBER(G29))),AND(I29="assumed",NOT(ISNUMBER(H29))),AND(I29="assumed",E29="owner",H29&gt;0,OR(NOT(ISNUMBER(J29)),J29&lt;0))),"Fix input","OK"))</x:f>
      </x:c>
    </x:row>
    <x:row r="30" ht="42" customHeight="1">
      <x:c r="A30" s="2"/>
      <x:c r="B30" s="7"/>
      <x:c r="C30" s="33"/>
      <x:c r="D30" s="7"/>
      <x:c r="E30" s="7"/>
      <x:c r="F30" s="7"/>
      <x:c r="G30" s="8"/>
      <x:c r="H30" s="8"/>
      <x:c r="I30" s="13"/>
      <x:c r="J30" s="8"/>
      <x:c r="K30" s="33"/>
      <x:c r="L30" s="9" t="n">
        <x:f>IF(B30="",0,IF(N30&lt;&gt;"OK","Incomplete",IF(AND(I30="assumed",E30&lt;&gt;"proforma"),H30-IF(AND(E30="owner",H30&gt;0),J30,0),0)))</x:f>
        <x:v>0</x:v>
      </x:c>
      <x:c r="M30" s="9" t="n">
        <x:f>IF(B30="",0,IF(N30&lt;&gt;"OK","Incomplete",IF(AND(I30="assumed",E30="proforma"),H30,0)))</x:f>
        <x:v>0</x:v>
      </x:c>
      <x:c r="N30" s="4" t="str">
        <x:f>IF(B30="","",IF(OR(COUNTIFS($B$6:$B$35,B30)&gt;1,F30&lt;&gt;'Inputs'!C6,AND(D30&lt;&gt;"seller",D30&lt;&gt;"buyer"),AND(E30&lt;&gt;"normalization",E30&lt;&gt;"owner",E30&lt;&gt;"proforma"),AND(I30&lt;&gt;"assumed",I30&lt;&gt;"rejected",I30&lt;&gt;"unresolved"),AND(D30="seller",NOT(ISNUMBER(G30))),AND(I30="assumed",NOT(ISNUMBER(H30))),AND(I30="assumed",E30="owner",H30&gt;0,OR(NOT(ISNUMBER(J30)),J30&lt;0))),"Fix input","OK"))</x:f>
      </x:c>
    </x:row>
    <x:row r="31" ht="42" customHeight="1">
      <x:c r="A31" s="2"/>
      <x:c r="B31" s="7"/>
      <x:c r="C31" s="33"/>
      <x:c r="D31" s="7"/>
      <x:c r="E31" s="7"/>
      <x:c r="F31" s="7"/>
      <x:c r="G31" s="8"/>
      <x:c r="H31" s="8"/>
      <x:c r="I31" s="13"/>
      <x:c r="J31" s="8"/>
      <x:c r="K31" s="33"/>
      <x:c r="L31" s="9" t="n">
        <x:f>IF(B31="",0,IF(N31&lt;&gt;"OK","Incomplete",IF(AND(I31="assumed",E31&lt;&gt;"proforma"),H31-IF(AND(E31="owner",H31&gt;0),J31,0),0)))</x:f>
        <x:v>0</x:v>
      </x:c>
      <x:c r="M31" s="9" t="n">
        <x:f>IF(B31="",0,IF(N31&lt;&gt;"OK","Incomplete",IF(AND(I31="assumed",E31="proforma"),H31,0)))</x:f>
        <x:v>0</x:v>
      </x:c>
      <x:c r="N31" s="4" t="str">
        <x:f>IF(B31="","",IF(OR(COUNTIFS($B$6:$B$35,B31)&gt;1,F31&lt;&gt;'Inputs'!C6,AND(D31&lt;&gt;"seller",D31&lt;&gt;"buyer"),AND(E31&lt;&gt;"normalization",E31&lt;&gt;"owner",E31&lt;&gt;"proforma"),AND(I31&lt;&gt;"assumed",I31&lt;&gt;"rejected",I31&lt;&gt;"unresolved"),AND(D31="seller",NOT(ISNUMBER(G31))),AND(I31="assumed",NOT(ISNUMBER(H31))),AND(I31="assumed",E31="owner",H31&gt;0,OR(NOT(ISNUMBER(J31)),J31&lt;0))),"Fix input","OK"))</x:f>
      </x:c>
    </x:row>
    <x:row r="32" ht="42" customHeight="1">
      <x:c r="A32" s="2"/>
      <x:c r="B32" s="7"/>
      <x:c r="C32" s="33"/>
      <x:c r="D32" s="7"/>
      <x:c r="E32" s="7"/>
      <x:c r="F32" s="7"/>
      <x:c r="G32" s="8"/>
      <x:c r="H32" s="8"/>
      <x:c r="I32" s="13"/>
      <x:c r="J32" s="8"/>
      <x:c r="K32" s="33"/>
      <x:c r="L32" s="9" t="n">
        <x:f>IF(B32="",0,IF(N32&lt;&gt;"OK","Incomplete",IF(AND(I32="assumed",E32&lt;&gt;"proforma"),H32-IF(AND(E32="owner",H32&gt;0),J32,0),0)))</x:f>
        <x:v>0</x:v>
      </x:c>
      <x:c r="M32" s="9" t="n">
        <x:f>IF(B32="",0,IF(N32&lt;&gt;"OK","Incomplete",IF(AND(I32="assumed",E32="proforma"),H32,0)))</x:f>
        <x:v>0</x:v>
      </x:c>
      <x:c r="N32" s="4" t="str">
        <x:f>IF(B32="","",IF(OR(COUNTIFS($B$6:$B$35,B32)&gt;1,F32&lt;&gt;'Inputs'!C6,AND(D32&lt;&gt;"seller",D32&lt;&gt;"buyer"),AND(E32&lt;&gt;"normalization",E32&lt;&gt;"owner",E32&lt;&gt;"proforma"),AND(I32&lt;&gt;"assumed",I32&lt;&gt;"rejected",I32&lt;&gt;"unresolved"),AND(D32="seller",NOT(ISNUMBER(G32))),AND(I32="assumed",NOT(ISNUMBER(H32))),AND(I32="assumed",E32="owner",H32&gt;0,OR(NOT(ISNUMBER(J32)),J32&lt;0))),"Fix input","OK"))</x:f>
      </x:c>
    </x:row>
    <x:row r="33" ht="42" customHeight="1">
      <x:c r="A33" s="2"/>
      <x:c r="B33" s="7"/>
      <x:c r="C33" s="33"/>
      <x:c r="D33" s="7"/>
      <x:c r="E33" s="7"/>
      <x:c r="F33" s="7"/>
      <x:c r="G33" s="8"/>
      <x:c r="H33" s="8"/>
      <x:c r="I33" s="13"/>
      <x:c r="J33" s="8"/>
      <x:c r="K33" s="33"/>
      <x:c r="L33" s="9" t="n">
        <x:f>IF(B33="",0,IF(N33&lt;&gt;"OK","Incomplete",IF(AND(I33="assumed",E33&lt;&gt;"proforma"),H33-IF(AND(E33="owner",H33&gt;0),J33,0),0)))</x:f>
        <x:v>0</x:v>
      </x:c>
      <x:c r="M33" s="9" t="n">
        <x:f>IF(B33="",0,IF(N33&lt;&gt;"OK","Incomplete",IF(AND(I33="assumed",E33="proforma"),H33,0)))</x:f>
        <x:v>0</x:v>
      </x:c>
      <x:c r="N33" s="4" t="str">
        <x:f>IF(B33="","",IF(OR(COUNTIFS($B$6:$B$35,B33)&gt;1,F33&lt;&gt;'Inputs'!C6,AND(D33&lt;&gt;"seller",D33&lt;&gt;"buyer"),AND(E33&lt;&gt;"normalization",E33&lt;&gt;"owner",E33&lt;&gt;"proforma"),AND(I33&lt;&gt;"assumed",I33&lt;&gt;"rejected",I33&lt;&gt;"unresolved"),AND(D33="seller",NOT(ISNUMBER(G33))),AND(I33="assumed",NOT(ISNUMBER(H33))),AND(I33="assumed",E33="owner",H33&gt;0,OR(NOT(ISNUMBER(J33)),J33&lt;0))),"Fix input","OK"))</x:f>
      </x:c>
    </x:row>
    <x:row r="34" ht="42" customHeight="1">
      <x:c r="A34" s="2"/>
      <x:c r="B34" s="7"/>
      <x:c r="C34" s="33"/>
      <x:c r="D34" s="7"/>
      <x:c r="E34" s="7"/>
      <x:c r="F34" s="7"/>
      <x:c r="G34" s="8"/>
      <x:c r="H34" s="8"/>
      <x:c r="I34" s="13"/>
      <x:c r="J34" s="8"/>
      <x:c r="K34" s="33"/>
      <x:c r="L34" s="9" t="n">
        <x:f>IF(B34="",0,IF(N34&lt;&gt;"OK","Incomplete",IF(AND(I34="assumed",E34&lt;&gt;"proforma"),H34-IF(AND(E34="owner",H34&gt;0),J34,0),0)))</x:f>
        <x:v>0</x:v>
      </x:c>
      <x:c r="M34" s="9" t="n">
        <x:f>IF(B34="",0,IF(N34&lt;&gt;"OK","Incomplete",IF(AND(I34="assumed",E34="proforma"),H34,0)))</x:f>
        <x:v>0</x:v>
      </x:c>
      <x:c r="N34" s="4" t="str">
        <x:f>IF(B34="","",IF(OR(COUNTIFS($B$6:$B$35,B34)&gt;1,F34&lt;&gt;'Inputs'!C6,AND(D34&lt;&gt;"seller",D34&lt;&gt;"buyer"),AND(E34&lt;&gt;"normalization",E34&lt;&gt;"owner",E34&lt;&gt;"proforma"),AND(I34&lt;&gt;"assumed",I34&lt;&gt;"rejected",I34&lt;&gt;"unresolved"),AND(D34="seller",NOT(ISNUMBER(G34))),AND(I34="assumed",NOT(ISNUMBER(H34))),AND(I34="assumed",E34="owner",H34&gt;0,OR(NOT(ISNUMBER(J34)),J34&lt;0))),"Fix input","OK"))</x:f>
      </x:c>
    </x:row>
    <x:row r="35" ht="42" customHeight="1">
      <x:c r="A35" s="2"/>
      <x:c r="B35" s="7"/>
      <x:c r="C35" s="33"/>
      <x:c r="D35" s="7"/>
      <x:c r="E35" s="7"/>
      <x:c r="F35" s="7"/>
      <x:c r="G35" s="8"/>
      <x:c r="H35" s="8"/>
      <x:c r="I35" s="13"/>
      <x:c r="J35" s="8"/>
      <x:c r="K35" s="33"/>
      <x:c r="L35" s="9" t="n">
        <x:f>IF(B35="",0,IF(N35&lt;&gt;"OK","Incomplete",IF(AND(I35="assumed",E35&lt;&gt;"proforma"),H35-IF(AND(E35="owner",H35&gt;0),J35,0),0)))</x:f>
        <x:v>0</x:v>
      </x:c>
      <x:c r="M35" s="9" t="n">
        <x:f>IF(B35="",0,IF(N35&lt;&gt;"OK","Incomplete",IF(AND(I35="assumed",E35="proforma"),H35,0)))</x:f>
        <x:v>0</x:v>
      </x:c>
      <x:c r="N35" s="4" t="str">
        <x:f>IF(B35="","",IF(OR(COUNTIFS($B$6:$B$35,B35)&gt;1,F35&lt;&gt;'Inputs'!C6,AND(D35&lt;&gt;"seller",D35&lt;&gt;"buyer"),AND(E35&lt;&gt;"normalization",E35&lt;&gt;"owner",E35&lt;&gt;"proforma"),AND(I35&lt;&gt;"assumed",I35&lt;&gt;"rejected",I35&lt;&gt;"unresolved"),AND(D35="seller",NOT(ISNUMBER(G35))),AND(I35="assumed",NOT(ISNUMBER(H35))),AND(I35="assumed",E35="owner",H35&gt;0,OR(NOT(ISNUMBER(J35)),J35&lt;0))),"Fix input","OK"))</x:f>
      </x:c>
    </x:row>
    <x:row r="36" ht="30" customHeight="1">
      <x:c r="A36" s="2"/>
      <x:c r="B36" s="2"/>
      <x:c r="C36" s="26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30" customHeight="1">
      <x:c r="A37" s="2"/>
      <x:c r="B37" s="2"/>
      <x:c r="C37" s="26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30" customHeight="1">
      <x:c r="A38" s="2"/>
      <x:c r="B38" s="2"/>
      <x:c r="C38" s="26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30" customHeight="1">
      <x:c r="A39" s="2"/>
      <x:c r="B39" s="2" t="str">
        <x:v>Rows requiring correction</x:v>
      </x:c>
      <x:c r="C39" s="32" t="n">
        <x:f>COUNTIFS(N6:N35,"Fix input")</x:f>
        <x:v>0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30" customHeight="1">
      <x:c r="A40" s="2"/>
      <x:c r="B40" s="2" t="str">
        <x:v>Assumed historical net</x:v>
      </x:c>
      <x:c r="C40" s="29" t="n">
        <x:f>IF(C39=0,SUM(L6:L35),"Incomplete")</x:f>
        <x:v>75000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30" customHeight="1">
      <x:c r="A41" s="2"/>
      <x:c r="B41" s="2" t="str">
        <x:v>Assumed pro forma net</x:v>
      </x:c>
      <x:c r="C41" s="29" t="n">
        <x:f>IF(C39=0,SUM(M6:M35),"Incomplete")</x:f>
        <x:v>0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30" customHeight="1">
      <x:c r="A42" s="2"/>
      <x:c r="B42" s="2" t="str">
        <x:v>Seller-origin claims</x:v>
      </x:c>
      <x:c r="C42" s="29" t="n">
        <x:f>IF(C39=0,SUMIFS(G6:G35,D6:D35,"seller"),"Incomplete")</x:f>
        <x:v>350000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30" customHeight="1">
      <x:c r="A43" s="2"/>
      <x:c r="B43" s="2" t="str">
        <x:v>Unresolved items</x:v>
      </x:c>
      <x:c r="C43" s="32" t="n">
        <x:f>COUNTIFS(I6:I35,"unresolved",B6:B35,"&lt;&gt;")</x:f>
        <x:v>1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30" customHeight="1">
      <x:c r="A44" s="2"/>
      <x:c r="B44" s="2"/>
      <x:c r="C44" s="26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30" customHeight="1">
      <x:c r="A45" s="2"/>
      <x:c r="B45" s="2"/>
      <x:c r="C45" s="26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conditionalFormatting sqref="N6:N35">
    <x:cfRule type="containsText" dxfId="0" priority="1" operator="containsText" text="Fix input"/>
  </x:conditionalFormatting>
  <x:dataValidations count="3">
    <x:dataValidation type="list" sqref="D6:D35">
      <x:formula1>"seller,buyer"</x:formula1>
    </x:dataValidation>
    <x:dataValidation type="list" sqref="E6:E35">
      <x:formula1>"normalization,owner,proforma"</x:formula1>
    </x:dataValidation>
    <x:dataValidation type="list" sqref="I6:I35">
      <x:formula1>"assumed,rejected,unresolved"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2" hidden="0" customWidth="1"/>
    <x:col min="3" max="3" width="24" hidden="0" customWidth="1"/>
    <x:col min="4" max="4" width="3" hidden="0" customWidth="1"/>
    <x:col min="5" max="5" width="6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2"/>
      <x:c r="B2" s="3" t="str">
        <x:v>Annual cash requirements and sensitivity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/>
      <x:c r="B3" s="2" t="str">
        <x:v>Enter explicit zero when known. Blank means unknown. All assumptions are USD annually.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2"/>
      <x:c r="B5" s="2" t="str">
        <x:v>Additional recurring operating costs</x:v>
      </x:c>
      <x:c r="C5" s="34" t="n">
        <x:v>30000</x:v>
      </x:c>
      <x:c r="D5" s="2"/>
      <x:c r="E5" s="2" t="str">
        <x:v>Not already reflected in earnings, replacements or adjustment log.</x:v>
      </x:c>
      <x:c r="F5" s="2"/>
      <x:c r="G5" s="2"/>
      <x:c r="H5" s="2"/>
      <x:c r="I5" s="2"/>
      <x:c r="J5" s="2"/>
      <x:c r="K5" s="2"/>
      <x:c r="L5" s="2"/>
      <x:c r="M5" s="2"/>
      <x:c r="N5" s="2"/>
    </x:row>
    <x:row r="6" ht="30" customHeight="1">
      <x:c r="A6" s="2"/>
      <x:c r="B6" s="2" t="str">
        <x:v>Maintenance capital expenditure</x:v>
      </x:c>
      <x:c r="C6" s="34" t="n">
        <x:v>60000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0" customHeight="1">
      <x:c r="A7" s="2"/>
      <x:c r="B7" s="2" t="str">
        <x:v>Growth capital expenditure</x:v>
      </x:c>
      <x:c r="C7" s="34" t="n">
        <x:v>20000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30" customHeight="1">
      <x:c r="A8" s="2"/>
      <x:c r="B8" s="2" t="str">
        <x:v>Incremental operating working capital</x:v>
      </x:c>
      <x:c r="C8" s="34" t="n">
        <x:v>40000</x:v>
      </x:c>
      <x:c r="D8" s="2"/>
      <x:c r="E8" s="2" t="str">
        <x:v>Positive consumes cash; negative releases cash. Not the closing NWC peg.</x:v>
      </x:c>
      <x:c r="F8" s="2"/>
      <x:c r="G8" s="2"/>
      <x:c r="H8" s="2"/>
      <x:c r="I8" s="2"/>
      <x:c r="J8" s="2"/>
      <x:c r="K8" s="2"/>
      <x:c r="L8" s="2"/>
      <x:c r="M8" s="2"/>
      <x:c r="N8" s="2"/>
    </x:row>
    <x:row r="9" ht="30" customHeight="1">
      <x:c r="A9" s="2"/>
      <x:c r="B9" s="2" t="str">
        <x:v>Cash taxes</x:v>
      </x:c>
      <x:c r="C9" s="34" t="n">
        <x:v>100000</x:v>
      </x:c>
      <x:c r="D9" s="2"/>
      <x:c r="E9" s="2" t="str">
        <x:v>Explicit estimate matching ownership and financing context.</x:v>
      </x:c>
      <x:c r="F9" s="2"/>
      <x:c r="G9" s="2"/>
      <x:c r="H9" s="2"/>
      <x:c r="I9" s="2"/>
      <x:c r="J9" s="2"/>
      <x:c r="K9" s="2"/>
      <x:c r="L9" s="2"/>
      <x:c r="M9" s="2"/>
      <x:c r="N9" s="2"/>
    </x:row>
    <x:row r="10" ht="30" customHeight="1">
      <x:c r="A10" s="2"/>
      <x:c r="B10" s="2" t="str">
        <x:v>Other cash requirements</x:v>
      </x:c>
      <x:c r="C10" s="34" t="n">
        <x:v>0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30" customHeight="1">
      <x:c r="A11" s="2"/>
      <x:c r="B11" s="2" t="str">
        <x:v>Annual principal + interest</x:v>
      </x:c>
      <x:c r="C11" s="34" t="n">
        <x:v>360000</x:v>
      </x:c>
      <x:c r="D11" s="2"/>
      <x:c r="E11" s="2" t="str">
        <x:v>Zero means no debt service; coverage becomes n.m.</x:v>
      </x:c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30" customHeight="1">
      <x:c r="A12" s="2"/>
      <x:c r="B12" s="2"/>
      <x:c r="C12" s="26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30" customHeight="1">
      <x:c r="A13" s="2"/>
      <x:c r="B13" s="2"/>
      <x:c r="C13" s="26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30" customHeight="1">
      <x:c r="A14" s="2"/>
      <x:c r="B14" s="2" t="str">
        <x:v>Buyer normalized earnings</x:v>
      </x:c>
      <x:c r="C14" s="37" t="n">
        <x:f>IF(AND(ISNUMBER('Inputs'!C16),ISNUMBER('Adjustments'!C40)),'Inputs'!C16+'Adjustments'!C40,"Incomplete")</x:f>
        <x:v>775000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30" customHeight="1">
      <x:c r="A15" s="2"/>
      <x:c r="B15" s="2" t="str">
        <x:v>Buyer operating case</x:v>
      </x:c>
      <x:c r="C15" s="37" t="n">
        <x:f>IF(AND(ISNUMBER(C14),ISNUMBER('Adjustments'!C41),ISNUMBER(C5),C5&gt;=0),C14+'Adjustments'!C41-C5,"Incomplete")</x:f>
        <x:v>745000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0" customHeight="1">
      <x:c r="A16" s="2"/>
      <x:c r="B16" s="2"/>
      <x:c r="C16" s="26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30" customHeight="1">
      <x:c r="A17" s="2"/>
      <x:c r="B17" s="2" t="str">
        <x:v>Cash before financing</x:v>
      </x:c>
      <x:c r="C17" s="29" t="n">
        <x:f>IF(AND(ISNUMBER(C15),COUNT(C6:C10)=5,C6&gt;=0,C7&gt;=0,C9&gt;=0,C10&gt;=0),C15-SUM(C6:C10),"Incomplete")</x:f>
        <x:v>525000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30" customHeight="1">
      <x:c r="A18" s="2"/>
      <x:c r="B18" s="2" t="str">
        <x:v>Illustrative cash coverage</x:v>
      </x:c>
      <x:c r="C18" s="30" t="n">
        <x:f>IF(AND(ISNUMBER(C17),ISNUMBER(C11),C11&gt;0),C17/C11,"n.m.")</x:f>
        <x:v>1.4583333333333333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0" customHeight="1">
      <x:c r="A19" s="2"/>
      <x:c r="B19" s="2" t="str">
        <x:v>Cash after financing</x:v>
      </x:c>
      <x:c r="C19" s="29" t="n">
        <x:f>IF(AND(ISNUMBER(C17),ISNUMBER(C11),C11&gt;=0),C17-C11,"Incomplete")</x:f>
        <x:v>165000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30" customHeight="1">
      <x:c r="A20" s="2"/>
      <x:c r="B20" s="2"/>
      <x:c r="C20" s="26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30" customHeight="1">
      <x:c r="A21" s="2"/>
      <x:c r="B21" s="2"/>
      <x:c r="C21" s="26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30" customHeight="1">
      <x:c r="A22" s="2"/>
      <x:c r="B22" s="2"/>
      <x:c r="C22" s="26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30" customHeight="1">
      <x:c r="A23" s="2"/>
      <x:c r="B23" s="2" t="str">
        <x:v>Scenario earnings change</x:v>
      </x:c>
      <x:c r="C23" s="37" t="n">
        <x:f>IF(AND(ISNUMBER('Inputs'!C10),'Inputs'!C10&gt;0,COUNT('Inputs'!C25:C27)=3,'Inputs'!C25&gt;=-1,'Inputs'!C25&lt;=1,'Inputs'!C26&gt;=0,'Inputs'!C26&lt;=1,'Inputs'!C27&gt;=0),'Inputs'!C10*'Inputs'!C25*'Inputs'!C26-'Inputs'!C27,"Incomplete")</x:f>
        <x:v>-220000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30" customHeight="1">
      <x:c r="A24" s="2"/>
      <x:c r="B24" s="2" t="str">
        <x:v>Scenario operating earnings</x:v>
      </x:c>
      <x:c r="C24" s="29" t="n">
        <x:f>IF(AND(ISNUMBER(C15),ISNUMBER(C23)),C15+C23,"Incomplete")</x:f>
        <x:v>525000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30" customHeight="1">
      <x:c r="A25" s="2"/>
      <x:c r="B25" s="2" t="str">
        <x:v>Scenario cash before financing</x:v>
      </x:c>
      <x:c r="C25" s="29" t="n">
        <x:f>IF(AND(ISNUMBER(C17),ISNUMBER(C23)),C17+C23,"Incomplete")</x:f>
        <x:v>305000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30" customHeight="1">
      <x:c r="A26" s="2"/>
      <x:c r="B26" s="2" t="str">
        <x:v>Scenario cash coverage</x:v>
      </x:c>
      <x:c r="C26" s="30" t="n">
        <x:f>IF(AND(ISNUMBER(C25),ISNUMBER(C11),C11&gt;0),C25/C11,"n.m.")</x:f>
        <x:v>0.8472222222222222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30" customHeight="1">
      <x:c r="A27" s="2"/>
      <x:c r="B27" s="2"/>
      <x:c r="C27" s="26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30" customHeight="1">
      <x:c r="A28" s="2"/>
      <x:c r="B28" s="2"/>
      <x:c r="C28" s="26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30" customHeight="1">
      <x:c r="A29" s="2"/>
      <x:c r="B29" s="2" t="str">
        <x:v>Sensitivity holds taxes, capex, working capital and debt service fixed.</x:v>
      </x:c>
      <x:c r="C29" s="26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30" customHeight="1">
      <x:c r="A30" s="2"/>
      <x:c r="B30" s="2" t="str">
        <x:v>Cash estimate is not historical CFO or a lender covenant calculation.</x:v>
      </x:c>
      <x:c r="C30" s="26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30" customHeight="1">
      <x:c r="A31" s="2"/>
      <x:c r="B31" s="2"/>
      <x:c r="C31" s="26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30" customHeight="1">
      <x:c r="A32" s="2"/>
      <x:c r="B32" s="2"/>
      <x:c r="C32" s="26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30" customHeight="1">
      <x:c r="A33" s="2"/>
      <x:c r="B33" s="2"/>
      <x:c r="C33" s="26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30" customHeight="1">
      <x:c r="A34" s="2"/>
      <x:c r="B34" s="2"/>
      <x:c r="C34" s="26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30" customHeight="1">
      <x:c r="A35" s="2"/>
      <x:c r="B35" s="2"/>
      <x:c r="C35" s="26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30" customHeight="1">
      <x:c r="A36" s="2"/>
      <x:c r="B36" s="2"/>
      <x:c r="C36" s="26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30" customHeight="1">
      <x:c r="A37" s="2"/>
      <x:c r="B37" s="2"/>
      <x:c r="C37" s="26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30" customHeight="1">
      <x:c r="A38" s="2"/>
      <x:c r="B38" s="2"/>
      <x:c r="C38" s="26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30" customHeight="1">
      <x:c r="A39" s="2"/>
      <x:c r="B39" s="2"/>
      <x:c r="C39" s="26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30" customHeight="1">
      <x:c r="A40" s="2"/>
      <x:c r="B40" s="2"/>
      <x:c r="C40" s="26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30" customHeight="1">
      <x:c r="A41" s="2"/>
      <x:c r="B41" s="2"/>
      <x:c r="C41" s="26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30" customHeight="1">
      <x:c r="A42" s="2"/>
      <x:c r="B42" s="2"/>
      <x:c r="C42" s="26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30" customHeight="1">
      <x:c r="A43" s="2"/>
      <x:c r="B43" s="2"/>
      <x:c r="C43" s="26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30" customHeight="1">
      <x:c r="A44" s="2"/>
      <x:c r="B44" s="2"/>
      <x:c r="C44" s="26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30" customHeight="1">
      <x:c r="A45" s="2"/>
      <x:c r="B45" s="2"/>
      <x:c r="C45" s="26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4" hidden="0" customWidth="1"/>
    <x:col min="3" max="3" width="100" hidden="0" customWidth="1"/>
    <x:col min="4" max="4" width="3" hidden="0" customWidth="1"/>
    <x:col min="5" max="5" width="6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2"/>
      <x:c r="B2" s="3" t="str">
        <x:v>Definitions and review instructions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2"/>
      <x:c r="B5" s="26" t="str">
        <x:v>Purpose</x:v>
      </x:c>
      <x:c r="C5" s="26" t="str">
        <x:v>Review preliminary earnings and cash assumptions. Practitioner testing pending.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0" customHeight="1">
      <x:c r="A6" s="2"/>
      <x:c r="B6" s="26" t="str">
        <x:v>How to use</x:v>
      </x:c>
      <x:c r="C6" s="26" t="str">
        <x:v>Change Inputs, Adjustments and Cash. Read Summary and inspect open items.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0" customHeight="1">
      <x:c r="A7" s="2"/>
      <x:c r="B7" s="26" t="str">
        <x:v>Input conventions</x:v>
      </x:c>
      <x:c r="C7" s="26" t="str">
        <x:v>Amber inputs are editable. Blue numbers are hardcodes; green formulas link sheets.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30" customHeight="1">
      <x:c r="A8" s="2"/>
      <x:c r="B8" s="26" t="str">
        <x:v>Starting EBITDA</x:v>
      </x:c>
      <x:c r="C8" s="26" t="str">
        <x:v>Net income plus interest, income tax expense, and D&amp;A for one 12-month period.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30" customHeight="1">
      <x:c r="A9" s="2"/>
      <x:c r="B9" s="26" t="str">
        <x:v>SDE</x:v>
      </x:c>
      <x:c r="C9" s="26" t="str">
        <x:v>Reconcile SDE to EBITDA before entry. Owner distributions are not P&amp;L expense.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30" customHeight="1">
      <x:c r="A10" s="2"/>
      <x:c r="B10" s="26" t="str">
        <x:v>Historical adjustments</x:v>
      </x:c>
      <x:c r="C10" s="26" t="str">
        <x:v>Use normalization or owner categories. Negative adjustments reduce earnings.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30" customHeight="1">
      <x:c r="A11" s="2"/>
      <x:c r="B11" s="26" t="str">
        <x:v>Owner replacement</x:v>
      </x:c>
      <x:c r="C11" s="26" t="str">
        <x:v>For a positive assumed owner adjustment, enter explicit annual replacement cost.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30" customHeight="1">
      <x:c r="A12" s="2"/>
      <x:c r="B12" s="26" t="str">
        <x:v>Pro forma changes</x:v>
      </x:c>
      <x:c r="C12" s="26" t="str">
        <x:v>Excluded from normalized historical earnings; included only in operating case.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30" customHeight="1">
      <x:c r="A13" s="2"/>
      <x:c r="B13" s="26" t="str">
        <x:v>Seller presentation</x:v>
      </x:c>
      <x:c r="C13" s="26" t="str">
        <x:v>All seller-origin claimed adjustments, independent of buyer treatment.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30" customHeight="1">
      <x:c r="A14" s="2"/>
      <x:c r="B14" s="26" t="str">
        <x:v>Price</x:v>
      </x:c>
      <x:c r="C14" s="26" t="str">
        <x:v>Enter enterprise value once; record notes, earnouts and seller-note treatment.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30" customHeight="1">
      <x:c r="A15" s="2"/>
      <x:c r="B15" s="26" t="str">
        <x:v>Working capital</x:v>
      </x:c>
      <x:c r="C15" s="26" t="str">
        <x:v>Model annual incremental operating cash use, not the closing working-capital peg.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0" customHeight="1">
      <x:c r="A16" s="2"/>
      <x:c r="B16" s="26" t="str">
        <x:v>Cash taxes</x:v>
      </x:c>
      <x:c r="C16" s="26" t="str">
        <x:v>Explicit scenario estimate. Not derived automatically from EBITDA or P&amp;L tax.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30" customHeight="1">
      <x:c r="A17" s="2"/>
      <x:c r="B17" s="26" t="str">
        <x:v>Missing values</x:v>
      </x:c>
      <x:c r="C17" s="26" t="str">
        <x:v>Blank required numbers suppress affected results. Zero is a known amount.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30" customHeight="1">
      <x:c r="A18" s="2"/>
      <x:c r="B18" s="26" t="str">
        <x:v>Coverage</x:v>
      </x:c>
      <x:c r="C18" s="26" t="str">
        <x:v>Illustrative cash before financing divided by principal and interest, not lender DSCR.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0" customHeight="1">
      <x:c r="A19" s="2"/>
      <x:c r="B19" s="26" t="str">
        <x:v>Sensitivity</x:v>
      </x:c>
      <x:c r="C19" s="26" t="str">
        <x:v>Revenue change × contribution margin less extra cost. Other cash drivers fixed.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30" customHeight="1">
      <x:c r="A20" s="2"/>
      <x:c r="B20" s="26" t="str">
        <x:v>Period controls</x:v>
      </x:c>
      <x:c r="C20" s="26" t="str">
        <x:v>Adjustment period must exactly match Inputs. No short-period annualization.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30" customHeight="1">
      <x:c r="A21" s="2"/>
      <x:c r="B21" s="26" t="str">
        <x:v>Evidence</x:v>
      </x:c>
      <x:c r="C21" s="26" t="str">
        <x:v>Source references do not verify legitimacy. Review overlapping entries manually.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30" customHeight="1">
      <x:c r="A22" s="2"/>
      <x:c r="B22" s="26" t="str">
        <x:v>Capacity</x:v>
      </x:c>
      <x:c r="C22" s="26" t="str">
        <x:v>30 adjustment rows. Additions beyond that require extending formulas and ranges.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30" customHeight="1">
      <x:c r="A23" s="2"/>
      <x:c r="B23" s="26" t="str">
        <x:v>Known limits</x:v>
      </x:c>
      <x:c r="C23" s="26" t="str">
        <x:v>No tax planning, QoE verification, loan sizing, earnout valuation or legal diligence.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30" customHeight="1">
      <x:c r="A24" s="2"/>
      <x:c r="B24" s="26" t="str">
        <x:v>Browser vs workbook</x:v>
      </x:c>
      <x:c r="C24" s="26" t="str">
        <x:v>Independent companions. JSON is supported in the browser; no automatic Excel import.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30" customHeight="1">
      <x:c r="A25" s="2"/>
      <x:c r="B25" s="26" t="str">
        <x:v>Reference</x:v>
      </x:c>
      <x:c r="C25" s="26" t="str">
        <x:v>https://www.sec.gov/corpfin/non-gaap-financial-measures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30" customHeight="1">
      <x:c r="A26" s="2"/>
      <x:c r="B26" s="26" t="str">
        <x:v>Reference</x:v>
      </x:c>
      <x:c r="C26" s="26" t="str">
        <x:v>https://www.bdc.ca/en/articles-tools/money-finance/get-financing/business-acquisitions-types-financing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30" customHeight="1">
      <x:c r="A27" s="2"/>
      <x:c r="B27" s="26" t="str">
        <x:v>Author</x:v>
      </x:c>
      <x:c r="C27" s="26" t="str">
        <x:v>Hashir Kayani • Rutgers University • October 2026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30" customHeight="1">
      <x:c r="A28" s="2"/>
      <x:c r="B28" s="2"/>
      <x:c r="C28" s="26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30" customHeight="1">
      <x:c r="A29" s="2"/>
      <x:c r="B29" s="2"/>
      <x:c r="C29" s="26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30" customHeight="1">
      <x:c r="A30" s="2"/>
      <x:c r="B30" s="2"/>
      <x:c r="C30" s="26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30" customHeight="1">
      <x:c r="A31" s="2"/>
      <x:c r="B31" s="2"/>
      <x:c r="C31" s="26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30" customHeight="1">
      <x:c r="A32" s="2"/>
      <x:c r="B32" s="2"/>
      <x:c r="C32" s="26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30" customHeight="1">
      <x:c r="A33" s="2"/>
      <x:c r="B33" s="2"/>
      <x:c r="C33" s="26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30" customHeight="1">
      <x:c r="A34" s="2"/>
      <x:c r="B34" s="2"/>
      <x:c r="C34" s="26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30" customHeight="1">
      <x:c r="A35" s="2"/>
      <x:c r="B35" s="2"/>
      <x:c r="C35" s="26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30" customHeight="1">
      <x:c r="A36" s="2"/>
      <x:c r="B36" s="2"/>
      <x:c r="C36" s="26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30" customHeight="1">
      <x:c r="A37" s="2"/>
      <x:c r="B37" s="2"/>
      <x:c r="C37" s="26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30" customHeight="1">
      <x:c r="A38" s="2"/>
      <x:c r="B38" s="2"/>
      <x:c r="C38" s="26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30" customHeight="1">
      <x:c r="A39" s="2"/>
      <x:c r="B39" s="2"/>
      <x:c r="C39" s="26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30" customHeight="1">
      <x:c r="A40" s="2"/>
      <x:c r="B40" s="2"/>
      <x:c r="C40" s="26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30" customHeight="1">
      <x:c r="A41" s="2"/>
      <x:c r="B41" s="2"/>
      <x:c r="C41" s="26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30" customHeight="1">
      <x:c r="A42" s="2"/>
      <x:c r="B42" s="2"/>
      <x:c r="C42" s="26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30" customHeight="1">
      <x:c r="A43" s="2"/>
      <x:c r="B43" s="2"/>
      <x:c r="C43" s="26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30" customHeight="1">
      <x:c r="A44" s="2"/>
      <x:c r="B44" s="2"/>
      <x:c r="C44" s="26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30" customHeight="1">
      <x:c r="A45" s="2"/>
      <x:c r="B45" s="2"/>
      <x:c r="C45" s="26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pageMargins left="0.7" right="0.7" top="0.75" bottom="0.75" header="0.3" footer="0.3"/>
</x:worksheet>
</file>